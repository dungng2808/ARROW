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Chi tiết CUT" sheetId="2" state="visible" r:id="rId4"/>
    <sheet name="Loại trước preflight" sheetId="3" state="visible" r:id="rId5"/>
    <sheet name="Repository" sheetId="4" state="visible" r:id="rId6"/>
    <sheet name="Trạng thái" sheetId="5" state="visible" r:id="rId7"/>
  </sheets>
  <definedNames>
    <definedName function="false" hidden="true" localSheetId="1" name="_xlnm._FilterDatabase" vbProcedure="false">'Chi tiết CUT'!$A$1:$N$181</definedName>
    <definedName function="false" hidden="true" localSheetId="2" name="_xlnm._FilterDatabase" vbProcedure="false">'Loại trước preflight'!$A$1:$E$93</definedName>
    <definedName function="false" hidden="true" localSheetId="3" name="_xlnm._FilterDatabase" vbProcedure="false">Repository!$A$1:$G$36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ARROW</author>
  </authors>
  <commentList>
    <comment ref="B5" authorId="0">
      <text>
        <r>
          <rPr>
            <sz val="10"/>
            <rFont val="Arial"/>
            <family val="2"/>
          </rPr>
          <t xml:space="preserve">Nguồn: gitbug-java data/bugs/ tại commit fe986fb, đếm bằng normalize_gitbug.py (normalize.meta.json)</t>
        </r>
      </text>
    </comment>
    <comment ref="C7" authorId="0">
      <text>
        <r>
          <rPr>
            <sz val="10"/>
            <rFont val="Arial"/>
            <family val="2"/>
          </rPr>
          <t xml:space="preserve">Nguồn: gitbug_input/candidates.csv (aws/event-ruler, iipc/jwarc)</t>
        </r>
      </text>
    </comment>
  </commentList>
</comments>
</file>

<file path=xl/sharedStrings.xml><?xml version="1.0" encoding="utf-8"?>
<sst xmlns="http://schemas.openxmlformats.org/spreadsheetml/2006/main" count="2843" uniqueCount="981">
  <si>
    <t xml:space="preserve">GitBug-Java — kết quả chuẩn hóa và preflight (11/10/2026)</t>
  </si>
  <si>
    <t xml:space="preserve">Commit đã fix của mỗi bug, UPSTREAM_PINNED (provenance dataset_record). Số liệu đếm là công thức tham chiếu sheet 'Chi tiết CUT' và 'Loại trước preflight'; ô chữ xanh là số nhập tay từ dữ liệu GitBug-Java.</t>
  </si>
  <si>
    <t xml:space="preserve">Bước</t>
  </si>
  <si>
    <t xml:space="preserve">Số CUT / file</t>
  </si>
  <si>
    <t xml:space="preserve">Số repository</t>
  </si>
  <si>
    <t xml:space="preserve">Ghi chú</t>
  </si>
  <si>
    <t xml:space="preserve">GitBug-Java gốc (data/bugs/)</t>
  </si>
  <si>
    <t xml:space="preserve">199 bug, 55 file JSON mỗi file một repository</t>
  </si>
  <si>
    <t xml:space="preserve">File .java trong bug_patch</t>
  </si>
  <si>
    <t xml:space="preserve">Mỗi file Java bị sửa trong bản fix là một ứng viên</t>
  </si>
  <si>
    <t xml:space="preserve">Loại: ngoài src/main/java</t>
  </si>
  <si>
    <t xml:space="preserve">aws/event-ruler, iipc/jwarc</t>
  </si>
  <si>
    <t xml:space="preserve">Loại: không có test người viết ghép tên</t>
  </si>
  <si>
    <t xml:space="preserve">Quy tắc bắt buộc có test ghép (phương án B)</t>
  </si>
  <si>
    <t xml:space="preserve">Đầu vào preflight</t>
  </si>
  <si>
    <t xml:space="preserve">Mọi CUT có test tham chiếu</t>
  </si>
  <si>
    <t xml:space="preserve">ELIGIBLE — preflight lần 1</t>
  </si>
  <si>
    <t xml:space="preserve">Probe gốc của công cụ</t>
  </si>
  <si>
    <t xml:space="preserve">ELIGIBLE — sau khi sửa probe và chạy lại</t>
  </si>
  <si>
    <t xml:space="preserve">Chạy lại các CUT không ELIGIBLE/EXCLUDED bằng scripts/rerun_fixed_probe.py</t>
  </si>
  <si>
    <t xml:space="preserve">Repository có ≥ 2 bug ELIGIBLE (nguồn pilot)</t>
  </si>
  <si>
    <t xml:space="preserve">Report 2 cần 10 repository khác nhau cho pilot</t>
  </si>
  <si>
    <t xml:space="preserve">1. Lần 1: preflight gốc (runs/gitbug-full-20261011). Lần chạy lại: runs/gitbug-rerun-20261011, kết quả gộp ở merged/.</t>
  </si>
  <si>
    <t xml:space="preserve">2. Bản sửa khi chạy lại (không sửa code preflight/, áp dụng lúc chạy qua scripts/rerun_fixed_probe.py): (1) probe khai báo throws Throwable; ép kiểu null theo tham số khi method bị overload, chép import của CUT; (2) module nhắm Java 8 nhưng dùng --release thì build bằng JDK 11; (3) compile probe Maven bỏ qua checkstyle, spring-javaformat, spotless, formatter, jacoco.</t>
  </si>
  <si>
    <t xml:space="preserve">3. Preflight của GitBug-Java vì vậy dùng probe mới hơn bản đã dùng cho Classes2Test; cần ghi vào change log.</t>
  </si>
  <si>
    <t xml:space="preserve">4. Tập đánh giá lấy mỗi repository 1 CUT, nên số CUT tối đa của GitBug-Java bằng số repository ELIGIBLE.</t>
  </si>
  <si>
    <t xml:space="preserve">task_id</t>
  </si>
  <si>
    <t xml:space="preserve">Repository</t>
  </si>
  <si>
    <t xml:space="preserve">Bug (commit đã fix)</t>
  </si>
  <si>
    <t xml:space="preserve">Class path (CUT)</t>
  </si>
  <si>
    <t xml:space="preserve">Test tham chiếu</t>
  </si>
  <si>
    <t xml:space="preserve">Build tool</t>
  </si>
  <si>
    <t xml:space="preserve">Test framework</t>
  </si>
  <si>
    <t xml:space="preserve">JDK dùng khi build</t>
  </si>
  <si>
    <t xml:space="preserve">Trạng thái lần 1</t>
  </si>
  <si>
    <t xml:space="preserve">Lý do lần 1</t>
  </si>
  <si>
    <t xml:space="preserve">Chạy lại?</t>
  </si>
  <si>
    <t xml:space="preserve">Trạng thái cuối</t>
  </si>
  <si>
    <t xml:space="preserve">Lý do cuối</t>
  </si>
  <si>
    <t xml:space="preserve">Commit đầy đủ</t>
  </si>
  <si>
    <t xml:space="preserve">AuthMe-ConfigMe-7bf10c513479_5db35da89b9d8088</t>
  </si>
  <si>
    <t xml:space="preserve">AuthMe/ConfigMe</t>
  </si>
  <si>
    <t xml:space="preserve">7bf10c513479</t>
  </si>
  <si>
    <t xml:space="preserve">src/main/java/ch/jalu/configme/configurationdata/PropertyListBuilder.java</t>
  </si>
  <si>
    <t xml:space="preserve">src/test/java/ch/jalu/configme/configurationdata/PropertyListBuilderTest.java</t>
  </si>
  <si>
    <t xml:space="preserve">maven</t>
  </si>
  <si>
    <t xml:space="preserve">junit5</t>
  </si>
  <si>
    <t xml:space="preserve">17.0.20.1</t>
  </si>
  <si>
    <t xml:space="preserve">ELIGIBLE</t>
  </si>
  <si>
    <t xml:space="preserve">Không</t>
  </si>
  <si>
    <t xml:space="preserve">7bf10c51347958ead6d2d8d11e6077dbc35c980e</t>
  </si>
  <si>
    <t xml:space="preserve">AuthMe-ConfigMe-aa91a6b315ec_ae60ceb030e8d3fc</t>
  </si>
  <si>
    <t xml:space="preserve">aa91a6b315ec</t>
  </si>
  <si>
    <t xml:space="preserve">src/main/java/ch/jalu/configme/configurationdata/CommentsConfiguration.java</t>
  </si>
  <si>
    <t xml:space="preserve">src/test/java/ch/jalu/configme/configurationdata/CommentsConfigurationTest.java</t>
  </si>
  <si>
    <t xml:space="preserve">aa91a6b315ec1ca94780459cc9d697218aea24cb</t>
  </si>
  <si>
    <t xml:space="preserve">BrightSpots-rcv-076f75e2417a_2b1bec9a8ff4845c</t>
  </si>
  <si>
    <t xml:space="preserve">BrightSpots/rcv</t>
  </si>
  <si>
    <t xml:space="preserve">076f75e2417a</t>
  </si>
  <si>
    <t xml:space="preserve">src/main/java/network/brightspots/rcv/Tabulator.java</t>
  </si>
  <si>
    <t xml:space="preserve">src/test/java/network/brightspots/rcv/TabulatorTests.java</t>
  </si>
  <si>
    <t xml:space="preserve">gradle</t>
  </si>
  <si>
    <t xml:space="preserve">unknown</t>
  </si>
  <si>
    <t xml:space="preserve">DEPENDENCY_UNAVAILABLE</t>
  </si>
  <si>
    <t xml:space="preserve">Có</t>
  </si>
  <si>
    <t xml:space="preserve">076f75e2417ac2001171f51f359dfcd15d71ee66</t>
  </si>
  <si>
    <t xml:space="preserve">Enigmatis-graphql-java-annotations-183752ce8b9a_aa479a5d22a9e951</t>
  </si>
  <si>
    <t xml:space="preserve">Enigmatis/graphql-java-annotations</t>
  </si>
  <si>
    <t xml:space="preserve">183752ce8b9a</t>
  </si>
  <si>
    <t xml:space="preserve">src/main/java/graphql/annotations/processor/retrievers/fieldBuilders/DirectivesBuilder.java</t>
  </si>
  <si>
    <t xml:space="preserve">src/test/java/graphql/annotations/processor/retrievers/fieldBuilders/DirectivesBuilderTest.java</t>
  </si>
  <si>
    <t xml:space="preserve">JDK_UNSUPPORTED</t>
  </si>
  <si>
    <t xml:space="preserve">183752ce8b9ab64dfd43b0679336b28faf7c03b9</t>
  </si>
  <si>
    <t xml:space="preserve">GoSimpleLLC-nbvcxz-ee8d5c62f4fb_5dc5ff0d56e066ac</t>
  </si>
  <si>
    <t xml:space="preserve">GoSimpleLLC/nbvcxz</t>
  </si>
  <si>
    <t xml:space="preserve">ee8d5c62f4fb</t>
  </si>
  <si>
    <t xml:space="preserve">src/main/java/me/gosimple/nbvcxz/matching/DictionaryMatcher.java</t>
  </si>
  <si>
    <t xml:space="preserve">src/test/java/me/gosimple/nbvcxz/matching/DictionaryMatcherTest.java</t>
  </si>
  <si>
    <t xml:space="preserve">junit4</t>
  </si>
  <si>
    <t xml:space="preserve">ee8d5c62f4fbba1b975a1e8675abb5dff3ef4cb6</t>
  </si>
  <si>
    <t xml:space="preserve">LMAX-Exchange-Simple-DSL-7d81cd9e2951_e8167ea0b2c73a87</t>
  </si>
  <si>
    <t xml:space="preserve">LMAX-Exchange/Simple-DSL</t>
  </si>
  <si>
    <t xml:space="preserve">7d81cd9e2951</t>
  </si>
  <si>
    <t xml:space="preserve">src/main/java/com/lmax/simpledsl/internal/DslParamsParser.java</t>
  </si>
  <si>
    <t xml:space="preserve">src/test/java/com/lmax/simpledsl/internal/DslParamsParserTest.java</t>
  </si>
  <si>
    <t xml:space="preserve">1.8.0_504</t>
  </si>
  <si>
    <t xml:space="preserve">7d81cd9e2951eb4c90243f62d92b4f365a16fbc1</t>
  </si>
  <si>
    <t xml:space="preserve">LMAX-Exchange-Simple-DSL-81182e58bd80_e74e99fe1e0db330</t>
  </si>
  <si>
    <t xml:space="preserve">81182e58bd80</t>
  </si>
  <si>
    <t xml:space="preserve">81182e58bd8036e09ac7cea8c169ec427133d0eb</t>
  </si>
  <si>
    <t xml:space="preserve">TheAlgorithms-Java-4f1514980495_c7254d933a173a38</t>
  </si>
  <si>
    <t xml:space="preserve">TheAlgorithms/Java</t>
  </si>
  <si>
    <t xml:space="preserve">4f1514980495</t>
  </si>
  <si>
    <t xml:space="preserve">src/main/java/com/thealgorithms/maths/FindMin.java</t>
  </si>
  <si>
    <t xml:space="preserve">src/test/java/com/thealgorithms/maths/FindMinTest.java</t>
  </si>
  <si>
    <t xml:space="preserve">4f1514980495c4daaae2eb060228a87e14cbae11</t>
  </si>
  <si>
    <t xml:space="preserve">TheAlgorithms-Java-96c1a96647c9_d6010e87bc39890f</t>
  </si>
  <si>
    <t xml:space="preserve">96c1a96647c9</t>
  </si>
  <si>
    <t xml:space="preserve">src/main/java/com/thealgorithms/maths/FindMax.java</t>
  </si>
  <si>
    <t xml:space="preserve">src/test/java/com/thealgorithms/maths/FindMaxTest.java</t>
  </si>
  <si>
    <t xml:space="preserve">96c1a96647c947f8f0c531ade3bc18967359e0ea</t>
  </si>
  <si>
    <t xml:space="preserve">TheAlgorithms-Java-a3a2d845d563_8bcf9c7af84d4406</t>
  </si>
  <si>
    <t xml:space="preserve">a3a2d845d563</t>
  </si>
  <si>
    <t xml:space="preserve">src/main/java/com/thealgorithms/maths/Armstrong.java</t>
  </si>
  <si>
    <t xml:space="preserve">src/test/java/com/thealgorithms/maths/ArmstrongTest.java</t>
  </si>
  <si>
    <t xml:space="preserve">a3a2d845d563a901946e052eeebba2f6e51e37d8</t>
  </si>
  <si>
    <t xml:space="preserve">TheAlgorithms-Java-e5c7a08874a6_0bc8a5a559202e54</t>
  </si>
  <si>
    <t xml:space="preserve">e5c7a08874a6</t>
  </si>
  <si>
    <t xml:space="preserve">src/main/java/com/thealgorithms/others/StackPostfixNotation.java</t>
  </si>
  <si>
    <t xml:space="preserve">src/test/java/com/thealgorithms/others/StackPostfixNotationTest.java</t>
  </si>
  <si>
    <t xml:space="preserve">e5c7a08874a6c7ff043ec5e3f44b3aac553f4e53</t>
  </si>
  <si>
    <t xml:space="preserve">YehiaFarghaly-database-engine-8314bfdec0aa_b11554464872b347</t>
  </si>
  <si>
    <t xml:space="preserve">YehiaFarghaly/database-engine</t>
  </si>
  <si>
    <t xml:space="preserve">8314bfdec0aa</t>
  </si>
  <si>
    <t xml:space="preserve">src/main/java/app/DBApp.java</t>
  </si>
  <si>
    <t xml:space="preserve">src/test/java/app/DBAppTest.java</t>
  </si>
  <si>
    <t xml:space="preserve">MAIN_BUILD_FAILED</t>
  </si>
  <si>
    <t xml:space="preserve">8314bfdec0aa431561d903d788ecdf31fd3c6c5c</t>
  </si>
  <si>
    <t xml:space="preserve">YehiaFarghaly-database-engine-c5f961f27373_9f3ec66f97ec3328</t>
  </si>
  <si>
    <t xml:space="preserve">c5f961f27373</t>
  </si>
  <si>
    <t xml:space="preserve">c5f961f27373a552d506ba0380d3898188971523</t>
  </si>
  <si>
    <t xml:space="preserve">adoble-adr-j-7fe616c55a5b_ca0aaab55560f619</t>
  </si>
  <si>
    <t xml:space="preserve">adoble/adr-j</t>
  </si>
  <si>
    <t xml:space="preserve">7fe616c55a5b</t>
  </si>
  <si>
    <t xml:space="preserve">src/main/java/org/doble/commands/CommandNew.java</t>
  </si>
  <si>
    <t xml:space="preserve">src/test/java/org/doble/adr/CommandNewTest.java</t>
  </si>
  <si>
    <t xml:space="preserve">PROBE_FAILED</t>
  </si>
  <si>
    <t xml:space="preserve">7fe616c55a5b9d8c17f0e69a5aaf8daca9d78abd</t>
  </si>
  <si>
    <t xml:space="preserve">aws-aws-secretsmanager-jdbc-d25e52d637cf_19f0c78a9e45eb61</t>
  </si>
  <si>
    <t xml:space="preserve">aws/aws-secretsmanager-jdbc</t>
  </si>
  <si>
    <t xml:space="preserve">d25e52d637cf</t>
  </si>
  <si>
    <t xml:space="preserve">src/main/java/com/amazonaws/secretsmanager/sql/AWSSecretsManagerPostgreSQLDriver.java</t>
  </si>
  <si>
    <t xml:space="preserve">src/test/java/com/amazonaws/secretsmanager/sql/AWSSecretsManagerPostgreSQLDriverTest.java</t>
  </si>
  <si>
    <t xml:space="preserve">d25e52d637cff0b8fc971738d514522074ba4e6e</t>
  </si>
  <si>
    <t xml:space="preserve">awslabs-aws-java-nio-spi-for-s3-8ae86f85f328_8bdf6adfd7816b9f</t>
  </si>
  <si>
    <t xml:space="preserve">awslabs/aws-java-nio-spi-for-s3</t>
  </si>
  <si>
    <t xml:space="preserve">8ae86f85f328</t>
  </si>
  <si>
    <t xml:space="preserve">src/main/java/software/amazon/nio/spi/s3/S3Path.java</t>
  </si>
  <si>
    <t xml:space="preserve">src/test/java/software/amazon/nio/spi/s3/S3PathTest.java</t>
  </si>
  <si>
    <t xml:space="preserve">11.0.32.1</t>
  </si>
  <si>
    <t xml:space="preserve">8ae86f85f32877e8eb8230582cae7a058b251879</t>
  </si>
  <si>
    <t xml:space="preserve">awslabs-aws-java-nio-spi-for-s3-ea1044d51bb4_c33aa3c891119328</t>
  </si>
  <si>
    <t xml:space="preserve">ea1044d51bb4</t>
  </si>
  <si>
    <t xml:space="preserve">src/main/java/software/amazon/nio/spi/s3/S3FileSystem.java</t>
  </si>
  <si>
    <t xml:space="preserve">src/test/java/software/amazon/nio/spi/s3/S3FileSystemTest.java</t>
  </si>
  <si>
    <t xml:space="preserve">ea1044d51bb4f61af05b6651539a719b7a03c529</t>
  </si>
  <si>
    <t xml:space="preserve">ballerina-platform-lsp4intellij-8b03eddead47_8a41c5afa64da683</t>
  </si>
  <si>
    <t xml:space="preserve">ballerina-platform/lsp4intellij</t>
  </si>
  <si>
    <t xml:space="preserve">8b03eddead47</t>
  </si>
  <si>
    <t xml:space="preserve">src/main/java/org/wso2/lsp4intellij/utils/FileUtils.java</t>
  </si>
  <si>
    <t xml:space="preserve">src/test/java/org/wso2/lsp4intellij/utils/FileUtilsTest.java</t>
  </si>
  <si>
    <t xml:space="preserve">8b03eddead47f04da18c51534a558654206eeae6</t>
  </si>
  <si>
    <t xml:space="preserve">beanshell-beanshell-7a60a06bb567_1dd7dd63d2396c0b</t>
  </si>
  <si>
    <t xml:space="preserve">beanshell/beanshell</t>
  </si>
  <si>
    <t xml:space="preserve">7a60a06bb567</t>
  </si>
  <si>
    <t xml:space="preserve">src/main/java/bsh/Reflect.java</t>
  </si>
  <si>
    <t xml:space="preserve">src/test/java/bsh/ReflectTest.java</t>
  </si>
  <si>
    <t xml:space="preserve">JDK_VERSION_MISMATCH</t>
  </si>
  <si>
    <t xml:space="preserve">7a60a06bb56774d1f6b1188ee66e712073b90a81</t>
  </si>
  <si>
    <t xml:space="preserve">c-rack-cbor-java-cabd70d02e86_d1a64497137640e8</t>
  </si>
  <si>
    <t xml:space="preserve">c-rack/cbor-java</t>
  </si>
  <si>
    <t xml:space="preserve">cabd70d02e86</t>
  </si>
  <si>
    <t xml:space="preserve">src/main/java/co/nstant/in/cbor/decoder/SpecialDecoder.java</t>
  </si>
  <si>
    <t xml:space="preserve">src/test/java/co/nstant/in/cbor/decoder/SpecialDecoderTest.java</t>
  </si>
  <si>
    <t xml:space="preserve">cabd70d02e864354117d73d96d70ab021d748188</t>
  </si>
  <si>
    <t xml:space="preserve">c-rack-cbor-java-cabd70d02e86_6636a0955048234f</t>
  </si>
  <si>
    <t xml:space="preserve">src/main/java/co/nstant/in/cbor/encoder/SpecialEncoder.java</t>
  </si>
  <si>
    <t xml:space="preserve">src/test/java/co/nstant/in/cbor/encoder/SpecialEncoderTest.java</t>
  </si>
  <si>
    <t xml:space="preserve">c-rack-cbor-java-cabd70d02e86_43dd6205480b0547</t>
  </si>
  <si>
    <t xml:space="preserve">src/main/java/co/nstant/in/cbor/model/SpecialType.java</t>
  </si>
  <si>
    <t xml:space="preserve">src/test/java/co/nstant/in/cbor/model/SpecialTypeTest.java</t>
  </si>
  <si>
    <t xml:space="preserve">EXCLUDED</t>
  </si>
  <si>
    <t xml:space="preserve">EXCLUDE_STRICT_COHORT</t>
  </si>
  <si>
    <t xml:space="preserve">crawler-commons-crawler-commons-2c2cb3bf7a95_5e2d323552471b2b</t>
  </si>
  <si>
    <t xml:space="preserve">crawler-commons/crawler-commons</t>
  </si>
  <si>
    <t xml:space="preserve">2c2cb3bf7a95</t>
  </si>
  <si>
    <t xml:space="preserve">src/main/java/crawlercommons/robots/SimpleRobotRulesParser.java</t>
  </si>
  <si>
    <t xml:space="preserve">src/test/java/crawlercommons/robots/SimpleRobotRulesParserTest.java</t>
  </si>
  <si>
    <t xml:space="preserve">2c2cb3bf7a95c9dde49f8f9b93abc858b8c9311f</t>
  </si>
  <si>
    <t xml:space="preserve">damianszczepanik-cucumber-reporting-f11e9867941b_3f13eaf0743b8c46</t>
  </si>
  <si>
    <t xml:space="preserve">damianszczepanik/cucumber-reporting</t>
  </si>
  <si>
    <t xml:space="preserve">f11e9867941b</t>
  </si>
  <si>
    <t xml:space="preserve">src/main/java/net/masterthought/cucumber/generators/FeatureReportPage.java</t>
  </si>
  <si>
    <t xml:space="preserve">src/test/java/net/masterthought/cucumber/generators/FeatureReportPageTest.java</t>
  </si>
  <si>
    <t xml:space="preserve">f11e9867941b79e8fc3ba36570018bb6a70ac278</t>
  </si>
  <si>
    <t xml:space="preserve">davidmoten-openapi-to-plantuml-773340861981_3e30f317c010d2cd</t>
  </si>
  <si>
    <t xml:space="preserve">davidmoten/openapi-to-plantuml</t>
  </si>
  <si>
    <t xml:space="preserve">773340861981</t>
  </si>
  <si>
    <t xml:space="preserve">src/main/java/com/github/davidmoten/oas3/puml/Converter.java</t>
  </si>
  <si>
    <t xml:space="preserve">src/test/java/com/github/davidmoten/oas3/puml/ConverterTest.java</t>
  </si>
  <si>
    <t xml:space="preserve">77334086198150825c3eefd7118c0b75ceaa0366</t>
  </si>
  <si>
    <t xml:space="preserve">davidmoten-word-wrap-e59eedf0bac7_ad28b7ea2bd685d9</t>
  </si>
  <si>
    <t xml:space="preserve">davidmoten/word-wrap</t>
  </si>
  <si>
    <t xml:space="preserve">e59eedf0bac7</t>
  </si>
  <si>
    <t xml:space="preserve">src/main/java/org/davidmoten/text/utils/WordWrap.java</t>
  </si>
  <si>
    <t xml:space="preserve">src/test/java/org/davidmoten/text/utils/WordWrapTest.java</t>
  </si>
  <si>
    <t xml:space="preserve">e59eedf0bac7d5ca7ee0062f3816c7ac5c3de4e0</t>
  </si>
  <si>
    <t xml:space="preserve">dmak-jaxb-xew-plugin-f48935133d6a_2f69feafb9a30f41</t>
  </si>
  <si>
    <t xml:space="preserve">dmak/jaxb-xew-plugin</t>
  </si>
  <si>
    <t xml:space="preserve">f48935133d6a</t>
  </si>
  <si>
    <t xml:space="preserve">src/main/java/com/sun/tools/xjc/addon/xew/XmlElementWrapperPlugin.java</t>
  </si>
  <si>
    <t xml:space="preserve">src/test/java/com/sun/tools/xjc/addon/xew/XmlElementWrapperPluginTest.java</t>
  </si>
  <si>
    <t xml:space="preserve">EXCLUDE_GENERATED_SOURCE</t>
  </si>
  <si>
    <t xml:space="preserve">f48935133d6ad30ad31613fca3b64db50f77fd26</t>
  </si>
  <si>
    <t xml:space="preserve">fishercoder1534-Leetcode-2110c6b023b7_66e7bdeab43f6856</t>
  </si>
  <si>
    <t xml:space="preserve">fishercoder1534/Leetcode</t>
  </si>
  <si>
    <t xml:space="preserve">2110c6b023b7</t>
  </si>
  <si>
    <t xml:space="preserve">src/main/java/com/fishercoder/solutions/_235.java</t>
  </si>
  <si>
    <t xml:space="preserve">src/test/java/com/fishercoder/_235Test.java</t>
  </si>
  <si>
    <t xml:space="preserve">2110c6b023b7c5623b2603dae9979201f2b2c3ac</t>
  </si>
  <si>
    <t xml:space="preserve">fusesource-jansi-58260c6ce08c_1b5d70b5213f1515</t>
  </si>
  <si>
    <t xml:space="preserve">fusesource/jansi</t>
  </si>
  <si>
    <t xml:space="preserve">58260c6ce08c</t>
  </si>
  <si>
    <t xml:space="preserve">src/main/java/org/fusesource/jansi/AnsiRenderer.java</t>
  </si>
  <si>
    <t xml:space="preserve">src/test/java/org/fusesource/jansi/AnsiRendererTest.java</t>
  </si>
  <si>
    <t xml:space="preserve">58260c6ce08c203e342df7d221c9902ada230d8c</t>
  </si>
  <si>
    <t xml:space="preserve">gradle-common-custom-user-data-gradle-plugin-982c77984b5e_4d8fde5d5430d03e</t>
  </si>
  <si>
    <t xml:space="preserve">gradle/common-custom-user-data-gradle-plugin</t>
  </si>
  <si>
    <t xml:space="preserve">982c77984b5e</t>
  </si>
  <si>
    <t xml:space="preserve">src/main/java/com/gradle/Utils.java</t>
  </si>
  <si>
    <t xml:space="preserve">src/test/java/com/gradle/UtilsTest.java</t>
  </si>
  <si>
    <t xml:space="preserve">982c77984b5e263fe8abf40fb0b8ed7dfd0a5b82</t>
  </si>
  <si>
    <t xml:space="preserve">jhy-jsoup-0121311b1bd5_1b8051b85de3b685</t>
  </si>
  <si>
    <t xml:space="preserve">jhy/jsoup</t>
  </si>
  <si>
    <t xml:space="preserve">0121311b1bd5</t>
  </si>
  <si>
    <t xml:space="preserve">src/main/java/org/jsoup/internal/StringUtil.java</t>
  </si>
  <si>
    <t xml:space="preserve">src/test/java/org/jsoup/internal/StringUtilTest.java</t>
  </si>
  <si>
    <t xml:space="preserve">0121311b1bd56cbbd29e9b291d42564d5135afa5</t>
  </si>
  <si>
    <t xml:space="preserve">jhy-jsoup-111919256590_b89b6bda70f141c8</t>
  </si>
  <si>
    <t xml:space="preserve">111919256590</t>
  </si>
  <si>
    <t xml:space="preserve">src/main/java/org/jsoup/nodes/Element.java</t>
  </si>
  <si>
    <t xml:space="preserve">src/test/java/org/jsoup/nodes/ElementTest.java</t>
  </si>
  <si>
    <t xml:space="preserve">111919256590a37b74d2caa119c4965d1a25124a</t>
  </si>
  <si>
    <t xml:space="preserve">jhy-jsoup-195f484ba5de_13882c16ce943ea0</t>
  </si>
  <si>
    <t xml:space="preserve">195f484ba5de</t>
  </si>
  <si>
    <t xml:space="preserve">src/main/java/org/jsoup/parser/Tag.java</t>
  </si>
  <si>
    <t xml:space="preserve">src/test/java/org/jsoup/parser/TagTest.java</t>
  </si>
  <si>
    <t xml:space="preserve">195f484ba5de224a3c1be6086e8c0dab066557d9</t>
  </si>
  <si>
    <t xml:space="preserve">jhy-jsoup-220a3b21be3b_481eb329450a394c</t>
  </si>
  <si>
    <t xml:space="preserve">220a3b21be3b</t>
  </si>
  <si>
    <t xml:space="preserve">src/main/java/org/jsoup/parser/HtmlTreeBuilder.java</t>
  </si>
  <si>
    <t xml:space="preserve">src/test/java/org/jsoup/parser/HtmlTreeBuilderTest.java</t>
  </si>
  <si>
    <t xml:space="preserve">220a3b21be3b3d50ed90f5665aff031a989572f4</t>
  </si>
  <si>
    <t xml:space="preserve">jhy-jsoup-220a3b21be3b_a0b8bfff46f20a59</t>
  </si>
  <si>
    <t xml:space="preserve">src/main/java/org/jsoup/parser/HtmlTreeBuilderState.java</t>
  </si>
  <si>
    <t xml:space="preserve">src/test/java/org/jsoup/parser/HtmlTreeBuilderStateTest.java</t>
  </si>
  <si>
    <t xml:space="preserve">jhy-jsoup-29be991198d3_f461279a50689ad0</t>
  </si>
  <si>
    <t xml:space="preserve">29be991198d3</t>
  </si>
  <si>
    <t xml:space="preserve">src/main/java/org/jsoup/nodes/TextNode.java</t>
  </si>
  <si>
    <t xml:space="preserve">src/test/java/org/jsoup/nodes/TextNodeTest.java</t>
  </si>
  <si>
    <t xml:space="preserve">29be991198d3b518d64ee36176ae415688468f61</t>
  </si>
  <si>
    <t xml:space="preserve">jhy-jsoup-2f48a617fe48_5117e12bab8e7710</t>
  </si>
  <si>
    <t xml:space="preserve">2f48a617fe48</t>
  </si>
  <si>
    <t xml:space="preserve">2f48a617fe48262c0c688188345f73a0fbfe6e59</t>
  </si>
  <si>
    <t xml:space="preserve">jhy-jsoup-401c8b010e01_9f0ad5817e5c33b1</t>
  </si>
  <si>
    <t xml:space="preserve">401c8b010e01</t>
  </si>
  <si>
    <t xml:space="preserve">401c8b010e01a03d5af00b88387e0dc3a8c1c8a4</t>
  </si>
  <si>
    <t xml:space="preserve">jhy-jsoup-45ed00232722_f0bba6b573e3cc1f</t>
  </si>
  <si>
    <t xml:space="preserve">45ed00232722</t>
  </si>
  <si>
    <t xml:space="preserve">src/main/java/org/jsoup/helper/HttpConnection.java</t>
  </si>
  <si>
    <t xml:space="preserve">src/test/java/org/jsoup/helper/HttpConnectionTest.java</t>
  </si>
  <si>
    <t xml:space="preserve">45ed00232722efacafdf58cb0e2bdcc751585f84</t>
  </si>
  <si>
    <t xml:space="preserve">jhy-jsoup-4a278e9b8e9c_e7d9106a8705da68</t>
  </si>
  <si>
    <t xml:space="preserve">4a278e9b8e9c</t>
  </si>
  <si>
    <t xml:space="preserve">src/main/java/org/jsoup/helper/W3CDom.java</t>
  </si>
  <si>
    <t xml:space="preserve">src/test/java/org/jsoup/helper/W3CDomTest.java</t>
  </si>
  <si>
    <t xml:space="preserve">4a278e9b8e9c0515ee005775703a40d7b0a86d2f</t>
  </si>
  <si>
    <t xml:space="preserve">jhy-jsoup-5f20fcc2f728_e143623b813d6f3e</t>
  </si>
  <si>
    <t xml:space="preserve">5f20fcc2f728</t>
  </si>
  <si>
    <t xml:space="preserve">src/main/java/org/jsoup/safety/Safelist.java</t>
  </si>
  <si>
    <t xml:space="preserve">src/test/java/org/jsoup/safety/SafelistTest.java</t>
  </si>
  <si>
    <t xml:space="preserve">5f20fcc2f728a930444c2ba9252ec26b20587a80</t>
  </si>
  <si>
    <t xml:space="preserve">jhy-jsoup-8e2b86839b27_01468842cd1a19fe</t>
  </si>
  <si>
    <t xml:space="preserve">8e2b86839b27</t>
  </si>
  <si>
    <t xml:space="preserve">8e2b86839b276191cf215a3500c405b1489cb215</t>
  </si>
  <si>
    <t xml:space="preserve">jhy-jsoup-8e8970650951_af039ce0517bf4b9</t>
  </si>
  <si>
    <t xml:space="preserve">8e8970650951</t>
  </si>
  <si>
    <t xml:space="preserve">src/main/java/org/jsoup/nodes/Document.java</t>
  </si>
  <si>
    <t xml:space="preserve">src/test/java/org/jsoup/nodes/DocumentTest.java</t>
  </si>
  <si>
    <t xml:space="preserve">8e8970650951cef63bae78dd41ba45c98a7d75a5</t>
  </si>
  <si>
    <t xml:space="preserve">jhy-jsoup-91b630f86b5c_345207372e954c7e</t>
  </si>
  <si>
    <t xml:space="preserve">91b630f86b5c</t>
  </si>
  <si>
    <t xml:space="preserve">src/main/java/org/jsoup/nodes/Attributes.java</t>
  </si>
  <si>
    <t xml:space="preserve">src/test/java/org/jsoup/nodes/AttributesTest.java</t>
  </si>
  <si>
    <t xml:space="preserve">91b630f86b5ca0f3540ed0347029cb52c3228ad9</t>
  </si>
  <si>
    <t xml:space="preserve">jhy-jsoup-9bb07d2ab43c_6cd37b029476acb2</t>
  </si>
  <si>
    <t xml:space="preserve">9bb07d2ab43c</t>
  </si>
  <si>
    <t xml:space="preserve">src/main/java/org/jsoup/nodes/Node.java</t>
  </si>
  <si>
    <t xml:space="preserve">src/test/java/org/jsoup/nodes/NodeTest.java</t>
  </si>
  <si>
    <t xml:space="preserve">EXCLUDE_ABSTRACT_CLASS</t>
  </si>
  <si>
    <t xml:space="preserve">9bb07d2ab43c0377806b4bb7b88c64366a39a469</t>
  </si>
  <si>
    <t xml:space="preserve">jhy-jsoup-9de27fa7cd82_ef00b2b2774d2208</t>
  </si>
  <si>
    <t xml:space="preserve">9de27fa7cd82</t>
  </si>
  <si>
    <t xml:space="preserve">9de27fa7cd823f6d26e33e48b36ef010c05f977c</t>
  </si>
  <si>
    <t xml:space="preserve">jhy-jsoup-9e5869b6e1e2_a6353a9a7a8419e3</t>
  </si>
  <si>
    <t xml:space="preserve">9e5869b6e1e2</t>
  </si>
  <si>
    <t xml:space="preserve">9e5869b6e1e29de2ae8ebc335772f0603a3ef10b</t>
  </si>
  <si>
    <t xml:space="preserve">jhy-jsoup-a349582236a7_29ad0dd029e51d06</t>
  </si>
  <si>
    <t xml:space="preserve">a349582236a7</t>
  </si>
  <si>
    <t xml:space="preserve">a349582236a7e69ce341f3b4ee913cb8cd19b955</t>
  </si>
  <si>
    <t xml:space="preserve">jhy-jsoup-a90bae7928f9_9d075e91c35ff6d0</t>
  </si>
  <si>
    <t xml:space="preserve">a90bae7928f9</t>
  </si>
  <si>
    <t xml:space="preserve">src/main/java/org/jsoup/nodes/Comment.java</t>
  </si>
  <si>
    <t xml:space="preserve">src/test/java/org/jsoup/nodes/CommentTest.java</t>
  </si>
  <si>
    <t xml:space="preserve">a90bae7928f9b038d1c142773b4a5011335bf8e8</t>
  </si>
  <si>
    <t xml:space="preserve">jhy-jsoup-a90bae7928f9_ae159b27fa521f62</t>
  </si>
  <si>
    <t xml:space="preserve">jhy-jsoup-a90bae7928f9_faff01cbb9d6a1af</t>
  </si>
  <si>
    <t xml:space="preserve">jhy-jsoup-a96ebc95f9ad_8a5ad253917dcab9</t>
  </si>
  <si>
    <t xml:space="preserve">a96ebc95f9ad</t>
  </si>
  <si>
    <t xml:space="preserve">a96ebc95f9ad681c3a8bb70a4d83020bf8812395</t>
  </si>
  <si>
    <t xml:space="preserve">jhy-jsoup-c93ea51dabfb_c437275f9b9e30e4</t>
  </si>
  <si>
    <t xml:space="preserve">c93ea51dabfb</t>
  </si>
  <si>
    <t xml:space="preserve">c93ea51dabfbfd34d6b979f5cc876ed3b5d093a4</t>
  </si>
  <si>
    <t xml:space="preserve">jhy-jsoup-c93ea51dabfb_7cbdc79fae8c6e35</t>
  </si>
  <si>
    <t xml:space="preserve">jhy-jsoup-d126488db626_8204bfc524da0e24</t>
  </si>
  <si>
    <t xml:space="preserve">d126488db626</t>
  </si>
  <si>
    <t xml:space="preserve">src/main/java/org/jsoup/select/QueryParser.java</t>
  </si>
  <si>
    <t xml:space="preserve">src/test/java/org/jsoup/select/QueryParserTest.java</t>
  </si>
  <si>
    <t xml:space="preserve">d126488db626790a69ce99bb96bf3cfe9c591534</t>
  </si>
  <si>
    <t xml:space="preserve">jhy-jsoup-dea49696e976_9ba0b6541fbdf98c</t>
  </si>
  <si>
    <t xml:space="preserve">dea49696e976</t>
  </si>
  <si>
    <t xml:space="preserve">dea49696e976b389864cd2926f93c6ff07bdcfa6</t>
  </si>
  <si>
    <t xml:space="preserve">jhy-jsoup-dea49696e976_b1da11ee19a422df</t>
  </si>
  <si>
    <t xml:space="preserve">jhy-jsoup-dea49696e976_606de34ebd288cd9</t>
  </si>
  <si>
    <t xml:space="preserve">jhy-jsoup-e52224fbfe66_e34120042f66728a</t>
  </si>
  <si>
    <t xml:space="preserve">e52224fbfe66</t>
  </si>
  <si>
    <t xml:space="preserve">e52224fbfe6632248cc58c593efae9a22ba2e622</t>
  </si>
  <si>
    <t xml:space="preserve">jhy-jsoup-f0ae81b13eb3_6057fd11eb1acdf4</t>
  </si>
  <si>
    <t xml:space="preserve">f0ae81b13eb3</t>
  </si>
  <si>
    <t xml:space="preserve">src/main/java/org/jsoup/parser/CharacterReader.java</t>
  </si>
  <si>
    <t xml:space="preserve">src/test/java/org/jsoup/parser/CharacterReaderTest.java</t>
  </si>
  <si>
    <t xml:space="preserve">f0ae81b13eb3dee39d4b93e73913e5072bf5debd</t>
  </si>
  <si>
    <t xml:space="preserve">jhy-jsoup-f0ae81b13eb3_7cf61278cb63911f</t>
  </si>
  <si>
    <t xml:space="preserve">src/main/java/org/jsoup/parser/TokeniserState.java</t>
  </si>
  <si>
    <t xml:space="preserve">src/test/java/org/jsoup/parser/TokeniserStateTest.java</t>
  </si>
  <si>
    <t xml:space="preserve">jhy-jsoup-f2913bd731f1_ec24b4600e8d12c8</t>
  </si>
  <si>
    <t xml:space="preserve">f2913bd731f1</t>
  </si>
  <si>
    <t xml:space="preserve">f2913bd731f12f497b247885143b212cfc94225e</t>
  </si>
  <si>
    <t xml:space="preserve">jitterted-ensembler-0963194c9ebc_0eae41f1f7715d6a</t>
  </si>
  <si>
    <t xml:space="preserve">jitterted/ensembler</t>
  </si>
  <si>
    <t xml:space="preserve">0963194c9ebc</t>
  </si>
  <si>
    <t xml:space="preserve">src/main/java/com/jitterted/mobreg/adapter/in/web/member/EnsembleSummaryView.java</t>
  </si>
  <si>
    <t xml:space="preserve">src/test/java/com/jitterted/mobreg/adapter/in/web/member/EnsembleSummaryViewTest.java</t>
  </si>
  <si>
    <t xml:space="preserve">0963194c9ebcb9998b912a2f78e232de2282709a</t>
  </si>
  <si>
    <t xml:space="preserve">jitterted-ensembler-0e512e5b3677_5ea8bf8ae05968b1</t>
  </si>
  <si>
    <t xml:space="preserve">0e512e5b3677</t>
  </si>
  <si>
    <t xml:space="preserve">0e512e5b36777672409a6dc283575f11b44138a1</t>
  </si>
  <si>
    <t xml:space="preserve">jitterted-ensembler-c9faf3fba524_e4991042349a6d83</t>
  </si>
  <si>
    <t xml:space="preserve">c9faf3fba524</t>
  </si>
  <si>
    <t xml:space="preserve">c9faf3fba5244b0c6bfab3717d8ff2f666bc58a6</t>
  </si>
  <si>
    <t xml:space="preserve">klausbrunner-solarpositioning-4d35aecb4840_a267cdc91744db73</t>
  </si>
  <si>
    <t xml:space="preserve">klausbrunner/solarpositioning</t>
  </si>
  <si>
    <t xml:space="preserve">4d35aecb4840</t>
  </si>
  <si>
    <t xml:space="preserve">src/main/java/net/e175/klaus/solarpositioning/DeltaT.java</t>
  </si>
  <si>
    <t xml:space="preserve">src/test/java/net/e175/klaus/solarpositioning/DeltaTTest.java</t>
  </si>
  <si>
    <t xml:space="preserve">4d35aecb484006f9949a1dfeaa4607dc62097854</t>
  </si>
  <si>
    <t xml:space="preserve">klausbrunner-solarpositioning-79c0044373b4_c63f22f027d2114a</t>
  </si>
  <si>
    <t xml:space="preserve">79c0044373b4</t>
  </si>
  <si>
    <t xml:space="preserve">src/main/java/net/e175/klaus/solarpositioning/Grena3.java</t>
  </si>
  <si>
    <t xml:space="preserve">src/test/java/net/e175/klaus/solarpositioning/Grena3Test.java</t>
  </si>
  <si>
    <t xml:space="preserve">79c0044373b483e625b42fa8513000cb719651b9</t>
  </si>
  <si>
    <t xml:space="preserve">klausbrunner-solarpositioning-79c0044373b4_6c6c6e36381211b1</t>
  </si>
  <si>
    <t xml:space="preserve">src/main/java/net/e175/klaus/solarpositioning/SPA.java</t>
  </si>
  <si>
    <t xml:space="preserve">src/test/java/net/e175/klaus/solarpositioning/SPATest.java</t>
  </si>
  <si>
    <t xml:space="preserve">mthmulders-mcs-12a39786d753_977427cc6e49e883</t>
  </si>
  <si>
    <t xml:space="preserve">mthmulders/mcs</t>
  </si>
  <si>
    <t xml:space="preserve">12a39786d753</t>
  </si>
  <si>
    <t xml:space="preserve">src/main/java/it/mulders/mcs/common/Result.java</t>
  </si>
  <si>
    <t xml:space="preserve">src/test/java/it/mulders/mcs/common/ResultTest.java</t>
  </si>
  <si>
    <t xml:space="preserve">EXCLUDE_UNSUPPORTED_DECLARATION</t>
  </si>
  <si>
    <t xml:space="preserve">12a39786d7533a368462d3c46be77072948c6e48</t>
  </si>
  <si>
    <t xml:space="preserve">mthmulders-mcs-12a39786d753_019cec74ec7b63d3</t>
  </si>
  <si>
    <t xml:space="preserve">src/main/java/it/mulders/mcs/search/SearchCommandHandler.java</t>
  </si>
  <si>
    <t xml:space="preserve">src/test/java/it/mulders/mcs/search/SearchCommandHandlerTest.java</t>
  </si>
  <si>
    <t xml:space="preserve">mthmulders-mcs-7c8b5bc9c7f2_2fdb7b658649dd99</t>
  </si>
  <si>
    <t xml:space="preserve">7c8b5bc9c7f2</t>
  </si>
  <si>
    <t xml:space="preserve">src/main/java/it/mulders/mcs/search/printer/CoordinatePrinter.java</t>
  </si>
  <si>
    <t xml:space="preserve">src/test/java/it/mulders/mcs/search/printer/CoordinatePrinterTest.java</t>
  </si>
  <si>
    <t xml:space="preserve">7c8b5bc9c7f26865d6785e06051e73317c06af2c</t>
  </si>
  <si>
    <t xml:space="preserve">mthmulders-mcs-eff905bef8d8_92aac359fd7a86e4</t>
  </si>
  <si>
    <t xml:space="preserve">eff905bef8d8</t>
  </si>
  <si>
    <t xml:space="preserve">src/main/java/it/mulders/mcs/search/printer/TabularOutputPrinter.java</t>
  </si>
  <si>
    <t xml:space="preserve">src/test/java/it/mulders/mcs/search/printer/TabularOutputPrinterTest.java</t>
  </si>
  <si>
    <t xml:space="preserve">eff905bef8d83a3ca49683eb3c246ab600f8fadc</t>
  </si>
  <si>
    <t xml:space="preserve">nikoo28-java-solutions-8d81307ea165_72db498c91da18e0</t>
  </si>
  <si>
    <t xml:space="preserve">nikoo28/java-solutions</t>
  </si>
  <si>
    <t xml:space="preserve">8d81307ea165</t>
  </si>
  <si>
    <t xml:space="preserve">src/main/java/leetcode/medium/OnlineStockSpan.java</t>
  </si>
  <si>
    <t xml:space="preserve">src/test/java/leetcode/medium/OnlineStockSpanTest.java</t>
  </si>
  <si>
    <t xml:space="preserve">8d81307ea1651f3dffe2d9d620378c08f04463ee</t>
  </si>
  <si>
    <t xml:space="preserve">retel-io-ari-proxy-610e9b6725e1_a4e4818c490db6cc</t>
  </si>
  <si>
    <t xml:space="preserve">retel-io/ari-proxy</t>
  </si>
  <si>
    <t xml:space="preserve">610e9b6725e1</t>
  </si>
  <si>
    <t xml:space="preserve">src/main/java/io/retel/ariproxy/boundary/commandsandresponses/AriCommandResponseProcessing.java</t>
  </si>
  <si>
    <t xml:space="preserve">src/test/java/io/retel/ariproxy/boundary/commandsandresponses/AriCommandResponseProcessingTest.java</t>
  </si>
  <si>
    <t xml:space="preserve">610e9b6725e1aab80abb5866a07d50aabc4e8874</t>
  </si>
  <si>
    <t xml:space="preserve">revelc-formatter-maven-plugin-3e9843d2ab99_bb43e52eabecd242</t>
  </si>
  <si>
    <t xml:space="preserve">revelc/formatter-maven-plugin</t>
  </si>
  <si>
    <t xml:space="preserve">3e9843d2ab99</t>
  </si>
  <si>
    <t xml:space="preserve">src/main/java/net/revelc/code/formatter/css/CssFormatter.java</t>
  </si>
  <si>
    <t xml:space="preserve">src/test/java/net/revelc/code/formatter/css/CssFormatterTest.java</t>
  </si>
  <si>
    <t xml:space="preserve">3e9843d2ab9946bcc3ce9930c033e6651affc312</t>
  </si>
  <si>
    <t xml:space="preserve">salesforce-grammaticus-cdf67a1ad578_3a128f3fa593e84c</t>
  </si>
  <si>
    <t xml:space="preserve">salesforce/grammaticus</t>
  </si>
  <si>
    <t xml:space="preserve">cdf67a1ad578</t>
  </si>
  <si>
    <t xml:space="preserve">src/main/java/com/force/i18n/grammar/impl/GrammaticalTermMapImpl.java</t>
  </si>
  <si>
    <t xml:space="preserve">src/test/java/com/force/i18n/grammar/impl/GrammaticalTermMapImplTest.java</t>
  </si>
  <si>
    <t xml:space="preserve">cdf67a1ad578e17f22695299d840aab2901c5609</t>
  </si>
  <si>
    <t xml:space="preserve">semver4j-semver4j-10102b374298_47cca460be38ce56</t>
  </si>
  <si>
    <t xml:space="preserve">semver4j/semver4j</t>
  </si>
  <si>
    <t xml:space="preserve">10102b374298</t>
  </si>
  <si>
    <t xml:space="preserve">src/main/java/org/semver4j/RangesList.java</t>
  </si>
  <si>
    <t xml:space="preserve">src/test/java/org/semver4j/RangesListTest.java</t>
  </si>
  <si>
    <t xml:space="preserve">BUILD_TIMEOUT</t>
  </si>
  <si>
    <t xml:space="preserve">10102b3742981d6a554972abfc525a1cf848feb8</t>
  </si>
  <si>
    <t xml:space="preserve">semver4j-semver4j-de7dadc7ece6_0019298b076bedc8</t>
  </si>
  <si>
    <t xml:space="preserve">de7dadc7ece6</t>
  </si>
  <si>
    <t xml:space="preserve">src/main/java/org/semver4j/Semver.java</t>
  </si>
  <si>
    <t xml:space="preserve">src/test/java/org/semver4j/SemverTest.java</t>
  </si>
  <si>
    <t xml:space="preserve">de7dadc7ece69328c712c239ae9671000df57d20</t>
  </si>
  <si>
    <t xml:space="preserve">snowflakedb-snowflake-jdbc-002bc9bb528a_5252a031c8db4e45</t>
  </si>
  <si>
    <t xml:space="preserve">snowflakedb/snowflake-jdbc</t>
  </si>
  <si>
    <t xml:space="preserve">002bc9bb528a</t>
  </si>
  <si>
    <t xml:space="preserve">src/main/java/net/snowflake/client/jdbc/SnowflakeDriver.java</t>
  </si>
  <si>
    <t xml:space="preserve">src/test/java/net/snowflake/client/jdbc/SnowflakeDriverTest.java</t>
  </si>
  <si>
    <t xml:space="preserve">TEST_COMPILE_FAILED</t>
  </si>
  <si>
    <t xml:space="preserve">002bc9bb528a71b0233742240d02ce4677fb75d6</t>
  </si>
  <si>
    <t xml:space="preserve">snowflakedb-snowflake-jdbc-7444f58c2aef_aec8d175b75d2d29</t>
  </si>
  <si>
    <t xml:space="preserve">7444f58c2aef</t>
  </si>
  <si>
    <t xml:space="preserve">src/main/java/net/snowflake/client/config/SFClientConfigParser.java</t>
  </si>
  <si>
    <t xml:space="preserve">src/test/java/net/snowflake/client/config/SFClientConfigParserTest.java</t>
  </si>
  <si>
    <t xml:space="preserve">7444f58c2aef1110463030f0d8200ec9f2b0e9ff</t>
  </si>
  <si>
    <t xml:space="preserve">snowflakedb-snowflake-jdbc-f2c8eba73535_217138c671ef4614</t>
  </si>
  <si>
    <t xml:space="preserve">f2c8eba73535</t>
  </si>
  <si>
    <t xml:space="preserve">src/main/java/net/snowflake/client/jdbc/RestRequest.java</t>
  </si>
  <si>
    <t xml:space="preserve">src/test/java/net/snowflake/client/jdbc/RestRequestTest.java</t>
  </si>
  <si>
    <t xml:space="preserve">f2c8eba735350e574c4831637c5e6554be46bfdd</t>
  </si>
  <si>
    <t xml:space="preserve">spring-projects-spring-retry-c89b9516d976_22c469f7d1690d8c</t>
  </si>
  <si>
    <t xml:space="preserve">spring-projects/spring-retry</t>
  </si>
  <si>
    <t xml:space="preserve">c89b9516d976</t>
  </si>
  <si>
    <t xml:space="preserve">src/main/java/org/springframework/retry/backoff/ExponentialBackOffPolicy.java</t>
  </si>
  <si>
    <t xml:space="preserve">src/test/java/org/springframework/retry/backoff/ExponentialBackOffPolicyTests.java</t>
  </si>
  <si>
    <t xml:space="preserve">c89b9516d9763cbb97689071dc4c8dc50090bf1e</t>
  </si>
  <si>
    <t xml:space="preserve">spring-projects-spring-retry-c89b9516d976_28d1195d0b343d1a</t>
  </si>
  <si>
    <t xml:space="preserve">src/main/java/org/springframework/retry/backoff/FixedBackOffPolicy.java</t>
  </si>
  <si>
    <t xml:space="preserve">src/test/java/org/springframework/retry/backoff/FixedBackOffPolicyTests.java</t>
  </si>
  <si>
    <t xml:space="preserve">spring-projects-spring-retry-c89b9516d976_adb1e6d661dc7b33</t>
  </si>
  <si>
    <t xml:space="preserve">src/main/java/org/springframework/retry/backoff/UniformRandomBackOffPolicy.java</t>
  </si>
  <si>
    <t xml:space="preserve">src/test/java/org/springframework/retry/backoff/UniformRandomBackOffPolicyTests.java</t>
  </si>
  <si>
    <t xml:space="preserve">spring-projects-spring-retry-e6091f790c64_fbd9a798442f8534</t>
  </si>
  <si>
    <t xml:space="preserve">e6091f790c64</t>
  </si>
  <si>
    <t xml:space="preserve">src/main/java/org/springframework/retry/backoff/BackOffPolicyBuilder.java</t>
  </si>
  <si>
    <t xml:space="preserve">src/test/java/org/springframework/retry/backoff/BackOffPolicyBuilderTests.java</t>
  </si>
  <si>
    <t xml:space="preserve">e6091f790c64394508591052f962b833e2459346</t>
  </si>
  <si>
    <t xml:space="preserve">stellar-java-stellar-sdk-1461c2fc5b89_de09f40d0d48802d</t>
  </si>
  <si>
    <t xml:space="preserve">stellar/java-stellar-sdk</t>
  </si>
  <si>
    <t xml:space="preserve">1461c2fc5b89</t>
  </si>
  <si>
    <t xml:space="preserve">src/main/java/org/stellar/sdk/Transaction.java</t>
  </si>
  <si>
    <t xml:space="preserve">src/test/java/org/stellar/sdk/TransactionTest.java</t>
  </si>
  <si>
    <t xml:space="preserve">1461c2fc5b89ab2210237bcabb9d4fe0c0d2fa97</t>
  </si>
  <si>
    <t xml:space="preserve">stellar-java-stellar-sdk-15cc6d2c8131_4baceec1b2840a96</t>
  </si>
  <si>
    <t xml:space="preserve">15cc6d2c8131</t>
  </si>
  <si>
    <t xml:space="preserve">src/main/java/org/stellar/sdk/KeyPair.java</t>
  </si>
  <si>
    <t xml:space="preserve">src/test/java/org/stellar/sdk/KeyPairTest.java</t>
  </si>
  <si>
    <t xml:space="preserve">15cc6d2c813117a27e23ed571b1842258968c049</t>
  </si>
  <si>
    <t xml:space="preserve">stellar-java-stellar-sdk-6e9badb007c2_fcae75724a3093d4</t>
  </si>
  <si>
    <t xml:space="preserve">6e9badb007c2</t>
  </si>
  <si>
    <t xml:space="preserve">src/main/java/org/stellar/sdk/SorobanServer.java</t>
  </si>
  <si>
    <t xml:space="preserve">src/test/java/org/stellar/sdk/SorobanServerTest.java</t>
  </si>
  <si>
    <t xml:space="preserve">6e9badb007c247eebe52d564049464fb57ab3701</t>
  </si>
  <si>
    <t xml:space="preserve">traccar-traccar-007b4007e063_3914cd0ff42f2d0d</t>
  </si>
  <si>
    <t xml:space="preserve">traccar/traccar</t>
  </si>
  <si>
    <t xml:space="preserve">007b4007e063</t>
  </si>
  <si>
    <t xml:space="preserve">src/main/java/org/traccar/protocol/TopinProtocolDecoder.java</t>
  </si>
  <si>
    <t xml:space="preserve">src/test/java/org/traccar/protocol/TopinProtocolDecoderTest.java</t>
  </si>
  <si>
    <t xml:space="preserve">007b4007e063cfb966a4024ef267992a4f1f9ccb</t>
  </si>
  <si>
    <t xml:space="preserve">traccar-traccar-03650fff8064_860dba02c04e3e9f</t>
  </si>
  <si>
    <t xml:space="preserve">03650fff8064</t>
  </si>
  <si>
    <t xml:space="preserve">src/main/java/org/traccar/protocol/GalileoFrameDecoder.java</t>
  </si>
  <si>
    <t xml:space="preserve">src/test/java/org/traccar/protocol/GalileoFrameDecoderTest.java</t>
  </si>
  <si>
    <t xml:space="preserve">03650fff8064b60ffcda75f9033fd44e66ef34b3</t>
  </si>
  <si>
    <t xml:space="preserve">traccar-traccar-046076aeb6f0_59a0c96dd7e35833</t>
  </si>
  <si>
    <t xml:space="preserve">046076aeb6f0</t>
  </si>
  <si>
    <t xml:space="preserve">src/main/java/org/traccar/protocol/Gt06ProtocolDecoder.java</t>
  </si>
  <si>
    <t xml:space="preserve">src/test/java/org/traccar/protocol/Gt06ProtocolDecoderTest.java</t>
  </si>
  <si>
    <t xml:space="preserve">046076aeb6f0c79bb59ef9aead4ebbc23e286c63</t>
  </si>
  <si>
    <t xml:space="preserve">traccar-traccar-0f8dd92a6b1b_67c1f927405e77bd</t>
  </si>
  <si>
    <t xml:space="preserve">0f8dd92a6b1b</t>
  </si>
  <si>
    <t xml:space="preserve">0f8dd92a6b1b9a288be888838a30195a6de41250</t>
  </si>
  <si>
    <t xml:space="preserve">traccar-traccar-105873ab5256_d46df4eea732997e</t>
  </si>
  <si>
    <t xml:space="preserve">105873ab5256</t>
  </si>
  <si>
    <t xml:space="preserve">src/main/java/org/traccar/protocol/Minifinder2ProtocolDecoder.java</t>
  </si>
  <si>
    <t xml:space="preserve">src/test/java/org/traccar/protocol/Minifinder2ProtocolDecoderTest.java</t>
  </si>
  <si>
    <t xml:space="preserve">105873ab5256a774ef07ca7ee459da0917829591</t>
  </si>
  <si>
    <t xml:space="preserve">traccar-traccar-1a1126d2d392_49f9915138c90904</t>
  </si>
  <si>
    <t xml:space="preserve">1a1126d2d392</t>
  </si>
  <si>
    <t xml:space="preserve">src/main/java/org/traccar/protocol/SuntechProtocolDecoder.java</t>
  </si>
  <si>
    <t xml:space="preserve">src/test/java/org/traccar/protocol/SuntechProtocolDecoderTest.java</t>
  </si>
  <si>
    <t xml:space="preserve">1a1126d2d39220f3f28d98662a8c3d5fd4c1cfee</t>
  </si>
  <si>
    <t xml:space="preserve">traccar-traccar-1b8993293646_44a301e5344ca4eb</t>
  </si>
  <si>
    <t xml:space="preserve">1b8993293646</t>
  </si>
  <si>
    <t xml:space="preserve">src/main/java/org/traccar/protocol/FifotrackProtocolDecoder.java</t>
  </si>
  <si>
    <t xml:space="preserve">src/test/java/org/traccar/protocol/FifotrackProtocolDecoderTest.java</t>
  </si>
  <si>
    <t xml:space="preserve">1b899329364619cbdc4213e2fd065955a94f5c6c</t>
  </si>
  <si>
    <t xml:space="preserve">traccar-traccar-1c91d35263f1_496c5c57f09ab77b</t>
  </si>
  <si>
    <t xml:space="preserve">1c91d35263f1</t>
  </si>
  <si>
    <t xml:space="preserve">src/main/java/org/traccar/protocol/WatchProtocolDecoder.java</t>
  </si>
  <si>
    <t xml:space="preserve">src/test/java/org/traccar/protocol/WatchProtocolDecoderTest.java</t>
  </si>
  <si>
    <t xml:space="preserve">1c91d35263f1d00c00db44f7b2ff373aacb28478</t>
  </si>
  <si>
    <t xml:space="preserve">traccar-traccar-1d31ebe88f26_95b290d5537f2a8c</t>
  </si>
  <si>
    <t xml:space="preserve">1d31ebe88f26</t>
  </si>
  <si>
    <t xml:space="preserve">src/main/java/org/traccar/protocol/Tk103ProtocolDecoder.java</t>
  </si>
  <si>
    <t xml:space="preserve">src/test/java/org/traccar/protocol/Tk103ProtocolDecoderTest.java</t>
  </si>
  <si>
    <t xml:space="preserve">1d31ebe88f2674252fc2ab043349b900db5e5e2d</t>
  </si>
  <si>
    <t xml:space="preserve">traccar-traccar-230f629c3dce_65388c89594c1485</t>
  </si>
  <si>
    <t xml:space="preserve">230f629c3dce</t>
  </si>
  <si>
    <t xml:space="preserve">src/main/java/org/traccar/protocol/RuptelaProtocolDecoder.java</t>
  </si>
  <si>
    <t xml:space="preserve">src/test/java/org/traccar/protocol/RuptelaProtocolDecoderTest.java</t>
  </si>
  <si>
    <t xml:space="preserve">230f629c3dce039aa8856fe2fb4c447a086d72e4</t>
  </si>
  <si>
    <t xml:space="preserve">traccar-traccar-2749e520c9ea_158f41c72374cbac</t>
  </si>
  <si>
    <t xml:space="preserve">2749e520c9ea</t>
  </si>
  <si>
    <t xml:space="preserve">src/main/java/org/traccar/protocol/HuabaoProtocolDecoder.java</t>
  </si>
  <si>
    <t xml:space="preserve">src/test/java/org/traccar/protocol/HuabaoProtocolDecoderTest.java</t>
  </si>
  <si>
    <t xml:space="preserve">2749e520c9ea1ba778c120739e2b67a9fe5e119c</t>
  </si>
  <si>
    <t xml:space="preserve">traccar-traccar-3331593759a2_ab87dddda5efc87c</t>
  </si>
  <si>
    <t xml:space="preserve">3331593759a2</t>
  </si>
  <si>
    <t xml:space="preserve">3331593759a21a1fa36cb64332e14828f7e522f0</t>
  </si>
  <si>
    <t xml:space="preserve">traccar-traccar-33af2928a581_95cd7269a21024fc</t>
  </si>
  <si>
    <t xml:space="preserve">33af2928a581</t>
  </si>
  <si>
    <t xml:space="preserve">src/main/java/org/traccar/protocol/MeitrackProtocolDecoder.java</t>
  </si>
  <si>
    <t xml:space="preserve">src/test/java/org/traccar/protocol/MeitrackProtocolDecoderTest.java</t>
  </si>
  <si>
    <t xml:space="preserve">33af2928a581eba6a1ba580b5da051612c7b7860</t>
  </si>
  <si>
    <t xml:space="preserve">traccar-traccar-3642b9520863_0211ac84c19a215f</t>
  </si>
  <si>
    <t xml:space="preserve">3642b9520863</t>
  </si>
  <si>
    <t xml:space="preserve">src/main/java/org/traccar/protocol/HuaShengProtocolDecoder.java</t>
  </si>
  <si>
    <t xml:space="preserve">src/test/java/org/traccar/protocol/HuaShengProtocolDecoderTest.java</t>
  </si>
  <si>
    <t xml:space="preserve">3642b952086355f5f2a52f7dc9b2cdfea4c02e31</t>
  </si>
  <si>
    <t xml:space="preserve">traccar-traccar-3771dd156efb_83a504ba59f5df87</t>
  </si>
  <si>
    <t xml:space="preserve">3771dd156efb</t>
  </si>
  <si>
    <t xml:space="preserve">3771dd156efb068b2f6ba586ec5b951985c40cc5</t>
  </si>
  <si>
    <t xml:space="preserve">traccar-traccar-37ed394724c0_b2a6acc28d004abc</t>
  </si>
  <si>
    <t xml:space="preserve">37ed394724c0</t>
  </si>
  <si>
    <t xml:space="preserve">37ed394724c0bdcc6f98f421e71d76916206ed30</t>
  </si>
  <si>
    <t xml:space="preserve">traccar-traccar-392f00082faf_84e5f0debc14e1e7</t>
  </si>
  <si>
    <t xml:space="preserve">392f00082faf</t>
  </si>
  <si>
    <t xml:space="preserve">392f00082faff72c9948ed569e4c883a5fabe7d6</t>
  </si>
  <si>
    <t xml:space="preserve">traccar-traccar-3b6900a95342_72deb2ef2b757fd3</t>
  </si>
  <si>
    <t xml:space="preserve">3b6900a95342</t>
  </si>
  <si>
    <t xml:space="preserve">3b6900a95342ae87861cfcae8870ac790da7a504</t>
  </si>
  <si>
    <t xml:space="preserve">traccar-traccar-3dad196b882c_7439eb781c7843fd</t>
  </si>
  <si>
    <t xml:space="preserve">3dad196b882c</t>
  </si>
  <si>
    <t xml:space="preserve">3dad196b882c031e4ed36536c3b2deeb1b3bbff6</t>
  </si>
  <si>
    <t xml:space="preserve">traccar-traccar-413d9a49c41a_83970350df018574</t>
  </si>
  <si>
    <t xml:space="preserve">413d9a49c41a</t>
  </si>
  <si>
    <t xml:space="preserve">413d9a49c41a27a221f2350e5cd4864c1231bb50</t>
  </si>
  <si>
    <t xml:space="preserve">traccar-traccar-45a0d3b8673a_56e15937afb28c42</t>
  </si>
  <si>
    <t xml:space="preserve">45a0d3b8673a</t>
  </si>
  <si>
    <t xml:space="preserve">45a0d3b8673a5bab98570b84a864e6b313fe2899</t>
  </si>
  <si>
    <t xml:space="preserve">traccar-traccar-4722f9b6b648_675fbeeb98e184cf</t>
  </si>
  <si>
    <t xml:space="preserve">4722f9b6b648</t>
  </si>
  <si>
    <t xml:space="preserve">src/main/java/org/traccar/protocol/GalileoProtocolDecoder.java</t>
  </si>
  <si>
    <t xml:space="preserve">src/test/java/org/traccar/protocol/GalileoProtocolDecoderTest.java</t>
  </si>
  <si>
    <t xml:space="preserve">4722f9b6b6489ea7e9dea0c01ae1d7d3044310b5</t>
  </si>
  <si>
    <t xml:space="preserve">traccar-traccar-4a5b8d79b560_06481eefa2d7e4ae</t>
  </si>
  <si>
    <t xml:space="preserve">4a5b8d79b560</t>
  </si>
  <si>
    <t xml:space="preserve">src/main/java/org/traccar/protocol/StarcomProtocolDecoder.java</t>
  </si>
  <si>
    <t xml:space="preserve">src/test/java/org/traccar/protocol/StarcomProtocolDecoderTest.java</t>
  </si>
  <si>
    <t xml:space="preserve">4a5b8d79b560c7941960cc47c551d87b1a942320</t>
  </si>
  <si>
    <t xml:space="preserve">traccar-traccar-4a64ef748e20_c7aaecd015fa0571</t>
  </si>
  <si>
    <t xml:space="preserve">4a64ef748e20</t>
  </si>
  <si>
    <t xml:space="preserve">4a64ef748e207406be4f7aa7538d59b7b0f9735c</t>
  </si>
  <si>
    <t xml:space="preserve">traccar-traccar-4ece72558c80_43e83d0ac3b81a91</t>
  </si>
  <si>
    <t xml:space="preserve">4ece72558c80</t>
  </si>
  <si>
    <t xml:space="preserve">src/main/java/org/traccar/protocol/TeltonikaProtocolDecoder.java</t>
  </si>
  <si>
    <t xml:space="preserve">src/test/java/org/traccar/protocol/TeltonikaProtocolDecoderTest.java</t>
  </si>
  <si>
    <t xml:space="preserve">4ece72558c80038728fa67ec51238bac48fc4d64</t>
  </si>
  <si>
    <t xml:space="preserve">traccar-traccar-514582dd83c4_ce99e853662cc3ad</t>
  </si>
  <si>
    <t xml:space="preserve">514582dd83c4</t>
  </si>
  <si>
    <t xml:space="preserve">src/main/java/org/traccar/protocol/TramigoFrameDecoder.java</t>
  </si>
  <si>
    <t xml:space="preserve">src/test/java/org/traccar/protocol/TramigoFrameDecoderTest.java</t>
  </si>
  <si>
    <t xml:space="preserve">514582dd83c4520948c03eb3fc84444e0d7f5a49</t>
  </si>
  <si>
    <t xml:space="preserve">traccar-traccar-52799453e0ee_3ad11a4d169ed888</t>
  </si>
  <si>
    <t xml:space="preserve">52799453e0ee</t>
  </si>
  <si>
    <t xml:space="preserve">src/main/java/org/traccar/protocol/StartekProtocolDecoder.java</t>
  </si>
  <si>
    <t xml:space="preserve">src/test/java/org/traccar/protocol/StartekProtocolDecoderTest.java</t>
  </si>
  <si>
    <t xml:space="preserve">52799453e0ee9a9db3cbad58138712c8c40c458f</t>
  </si>
  <si>
    <t xml:space="preserve">traccar-traccar-553527d9fbe6_fa3e3ccc6cd801e6</t>
  </si>
  <si>
    <t xml:space="preserve">553527d9fbe6</t>
  </si>
  <si>
    <t xml:space="preserve">553527d9fbe689be243acbf219bed432f15c25e3</t>
  </si>
  <si>
    <t xml:space="preserve">traccar-traccar-5a1a8d9192ee_d66631bcdeb48ee4</t>
  </si>
  <si>
    <t xml:space="preserve">5a1a8d9192ee</t>
  </si>
  <si>
    <t xml:space="preserve">src/main/java/org/traccar/protocol/T622IridiumProtocolDecoder.java</t>
  </si>
  <si>
    <t xml:space="preserve">src/test/java/org/traccar/protocol/T622IridiumProtocolDecoderTest.java</t>
  </si>
  <si>
    <t xml:space="preserve">5a1a8d9192ee44b116f10e5ce3551a4e4bc70deb</t>
  </si>
  <si>
    <t xml:space="preserve">traccar-traccar-5c26f25b3b0a_60da2e61b0a4773a</t>
  </si>
  <si>
    <t xml:space="preserve">5c26f25b3b0a</t>
  </si>
  <si>
    <t xml:space="preserve">5c26f25b3b0afc509c76bfc4a111dbc383efee26</t>
  </si>
  <si>
    <t xml:space="preserve">traccar-traccar-5da3b8fcb480_1929e5bde937f571</t>
  </si>
  <si>
    <t xml:space="preserve">5da3b8fcb480</t>
  </si>
  <si>
    <t xml:space="preserve">5da3b8fcb480736161aa6a0896501f00f197bc13</t>
  </si>
  <si>
    <t xml:space="preserve">traccar-traccar-5e18cb586d34_ca129a889e32b2a9</t>
  </si>
  <si>
    <t xml:space="preserve">5e18cb586d34</t>
  </si>
  <si>
    <t xml:space="preserve">src/main/java/org/traccar/protocol/Gl200TextProtocolDecoder.java</t>
  </si>
  <si>
    <t xml:space="preserve">src/test/java/org/traccar/protocol/Gl200TextProtocolDecoderTest.java</t>
  </si>
  <si>
    <t xml:space="preserve">5e18cb586d34aa3db0417cef9635bf1d9cae6e18</t>
  </si>
  <si>
    <t xml:space="preserve">traccar-traccar-5f56a56d7721_d2ec9544fa60ea89</t>
  </si>
  <si>
    <t xml:space="preserve">5f56a56d7721</t>
  </si>
  <si>
    <t xml:space="preserve">5f56a56d77216fa46a63eabbcef67d59d4d7c817</t>
  </si>
  <si>
    <t xml:space="preserve">traccar-traccar-65f54c200cf0_6ca610e75f92dc47</t>
  </si>
  <si>
    <t xml:space="preserve">65f54c200cf0</t>
  </si>
  <si>
    <t xml:space="preserve">65f54c200cf0dcadaa9a1ce685e3eaeb88ce7506</t>
  </si>
  <si>
    <t xml:space="preserve">traccar-traccar-6631d7c4b352_602afa18177370f0</t>
  </si>
  <si>
    <t xml:space="preserve">6631d7c4b352</t>
  </si>
  <si>
    <t xml:space="preserve">src/main/java/org/traccar/protocol/WatchFrameDecoder.java</t>
  </si>
  <si>
    <t xml:space="preserve">src/test/java/org/traccar/protocol/WatchFrameDecoderTest.java</t>
  </si>
  <si>
    <t xml:space="preserve">6631d7c4b3522e81af563e3ac82131a6e5c50b89</t>
  </si>
  <si>
    <t xml:space="preserve">traccar-traccar-6e5481ebb185_eb2a68c0b5b26193</t>
  </si>
  <si>
    <t xml:space="preserve">6e5481ebb185</t>
  </si>
  <si>
    <t xml:space="preserve">6e5481ebb1858726604706d011e5c5f509ac5306</t>
  </si>
  <si>
    <t xml:space="preserve">traccar-traccar-6f59f756a7d3_910fd25e7dd8edd5</t>
  </si>
  <si>
    <t xml:space="preserve">6f59f756a7d3</t>
  </si>
  <si>
    <t xml:space="preserve">src/main/java/org/traccar/protocol/T800xProtocolDecoder.java</t>
  </si>
  <si>
    <t xml:space="preserve">src/test/java/org/traccar/protocol/T800xProtocolDecoderTest.java</t>
  </si>
  <si>
    <t xml:space="preserve">6f59f756a7d3e86924e762919dbbe13940a6511f</t>
  </si>
  <si>
    <t xml:space="preserve">traccar-traccar-7325030436e5_6f18956a8211a252</t>
  </si>
  <si>
    <t xml:space="preserve">7325030436e5</t>
  </si>
  <si>
    <t xml:space="preserve">src/main/java/org/traccar/helper/BufferUtil.java</t>
  </si>
  <si>
    <t xml:space="preserve">src/test/java/org/traccar/helper/BufferUtilTest.java</t>
  </si>
  <si>
    <t xml:space="preserve">7325030436e5fc42b6998240a0c5696a1d4fed5a</t>
  </si>
  <si>
    <t xml:space="preserve">traccar-traccar-7325030436e5_599a613f906a9442</t>
  </si>
  <si>
    <t xml:space="preserve">traccar-traccar-7325030436e5_32dd981456cdb28b</t>
  </si>
  <si>
    <t xml:space="preserve">traccar-traccar-779486a30483_501f16674438008f</t>
  </si>
  <si>
    <t xml:space="preserve">779486a30483</t>
  </si>
  <si>
    <t xml:space="preserve">src/main/java/org/traccar/protocol/LaipacProtocolDecoder.java</t>
  </si>
  <si>
    <t xml:space="preserve">src/test/java/org/traccar/protocol/LaipacProtocolDecoderTest.java</t>
  </si>
  <si>
    <t xml:space="preserve">779486a30483f7ab9c2c0f4c39c6a4e14319b330</t>
  </si>
  <si>
    <t xml:space="preserve">traccar-traccar-782fd787d14b_e91ba6aedf0210b1</t>
  </si>
  <si>
    <t xml:space="preserve">782fd787d14b</t>
  </si>
  <si>
    <t xml:space="preserve">src/main/java/org/traccar/protocol/TramigoProtocolDecoder.java</t>
  </si>
  <si>
    <t xml:space="preserve">src/test/java/org/traccar/protocol/TramigoProtocolDecoderTest.java</t>
  </si>
  <si>
    <t xml:space="preserve">782fd787d14bd041c818e25b06f5ebe844854163</t>
  </si>
  <si>
    <t xml:space="preserve">traccar-traccar-7c2f9e56ba5f_31cc503c115ddc3f</t>
  </si>
  <si>
    <t xml:space="preserve">7c2f9e56ba5f</t>
  </si>
  <si>
    <t xml:space="preserve">src/main/java/org/traccar/protocol/WialonProtocolDecoder.java</t>
  </si>
  <si>
    <t xml:space="preserve">src/test/java/org/traccar/protocol/WialonProtocolDecoderTest.java</t>
  </si>
  <si>
    <t xml:space="preserve">7c2f9e56ba5f699d22ec2939408357b5a220bacc</t>
  </si>
  <si>
    <t xml:space="preserve">traccar-traccar-7ce4fb9a628f_1ee4fbb83e75f92f</t>
  </si>
  <si>
    <t xml:space="preserve">7ce4fb9a628f</t>
  </si>
  <si>
    <t xml:space="preserve">7ce4fb9a628f1875ee7b616bbd3a03a6be008a0d</t>
  </si>
  <si>
    <t xml:space="preserve">traccar-traccar-8638bc8ab98f_b540056afb3961c2</t>
  </si>
  <si>
    <t xml:space="preserve">8638bc8ab98f</t>
  </si>
  <si>
    <t xml:space="preserve">8638bc8ab98fa5ee6199ecaa28754972dee15e5e</t>
  </si>
  <si>
    <t xml:space="preserve">traccar-traccar-8ae0436e5edb_4ba8193642d3be27</t>
  </si>
  <si>
    <t xml:space="preserve">8ae0436e5edb</t>
  </si>
  <si>
    <t xml:space="preserve">8ae0436e5edb76243e59ee6e9b2c1a6132fd9464</t>
  </si>
  <si>
    <t xml:space="preserve">traccar-traccar-8ae0436e5edb_b8de72f0dae37f57</t>
  </si>
  <si>
    <t xml:space="preserve">src/main/java/org/traccar/protocol/Gps103ProtocolDecoder.java</t>
  </si>
  <si>
    <t xml:space="preserve">src/test/java/org/traccar/protocol/Gps103ProtocolDecoderTest.java</t>
  </si>
  <si>
    <t xml:space="preserve">traccar-traccar-8ae0436e5edb_d24a78ccfffa4f3b</t>
  </si>
  <si>
    <t xml:space="preserve">traccar-traccar-8ae0436e5edb_b263df2f728249c8</t>
  </si>
  <si>
    <t xml:space="preserve">traccar-traccar-8b4d3ee0b964_b751b0849056f743</t>
  </si>
  <si>
    <t xml:space="preserve">8b4d3ee0b964</t>
  </si>
  <si>
    <t xml:space="preserve">src/main/java/org/traccar/protocol/MiniFinderProtocolDecoder.java</t>
  </si>
  <si>
    <t xml:space="preserve">src/test/java/org/traccar/protocol/MiniFinderProtocolDecoderTest.java</t>
  </si>
  <si>
    <t xml:space="preserve">8b4d3ee0b96407ad3c889bc3bb0261e5ebe60532</t>
  </si>
  <si>
    <t xml:space="preserve">traccar-traccar-8de9a36abef8_d085ee822bcc8957</t>
  </si>
  <si>
    <t xml:space="preserve">8de9a36abef8</t>
  </si>
  <si>
    <t xml:space="preserve">src/main/java/org/traccar/protocol/GoSafeProtocolDecoder.java</t>
  </si>
  <si>
    <t xml:space="preserve">src/test/java/org/traccar/protocol/GoSafeProtocolDecoderTest.java</t>
  </si>
  <si>
    <t xml:space="preserve">8de9a36abef8e66be4fcc248b49045ffd3b5f7ae</t>
  </si>
  <si>
    <t xml:space="preserve">traccar-traccar-94fbc93f8b0a_5822c13e3912f3c7</t>
  </si>
  <si>
    <t xml:space="preserve">94fbc93f8b0a</t>
  </si>
  <si>
    <t xml:space="preserve">src/main/java/org/traccar/protocol/AtrackProtocolDecoder.java</t>
  </si>
  <si>
    <t xml:space="preserve">src/test/java/org/traccar/protocol/AtrackProtocolDecoderTest.java</t>
  </si>
  <si>
    <t xml:space="preserve">94fbc93f8b0a75fe17e529355c4e7758b81b4776</t>
  </si>
  <si>
    <t xml:space="preserve">traccar-traccar-95fdfd770130_5f375cc20821c37c</t>
  </si>
  <si>
    <t xml:space="preserve">95fdfd770130</t>
  </si>
  <si>
    <t xml:space="preserve">95fdfd770130b774e6201ddc88bba9241c95e3cc</t>
  </si>
  <si>
    <t xml:space="preserve">traccar-traccar-9a1cbeb7b754_85b00769127b019e</t>
  </si>
  <si>
    <t xml:space="preserve">9a1cbeb7b754</t>
  </si>
  <si>
    <t xml:space="preserve">9a1cbeb7b754b0147d8ccbc334849fac087d7cda</t>
  </si>
  <si>
    <t xml:space="preserve">traccar-traccar-9aef1bfcffa0_f5e2b8e905f41d33</t>
  </si>
  <si>
    <t xml:space="preserve">9aef1bfcffa0</t>
  </si>
  <si>
    <t xml:space="preserve">src/main/java/org/traccar/protocol/T55ProtocolDecoder.java</t>
  </si>
  <si>
    <t xml:space="preserve">src/test/java/org/traccar/protocol/T55ProtocolDecoderTest.java</t>
  </si>
  <si>
    <t xml:space="preserve">9aef1bfcffa0750ba0771dd1af2ffe8667547b3a</t>
  </si>
  <si>
    <t xml:space="preserve">traccar-traccar-9ff9bd75fff9_eba8327eef4a9928</t>
  </si>
  <si>
    <t xml:space="preserve">9ff9bd75fff9</t>
  </si>
  <si>
    <t xml:space="preserve">9ff9bd75fff98cc46395bfa870ba0c1f7ab34d87</t>
  </si>
  <si>
    <t xml:space="preserve">traccar-traccar-a722658e5a3c_94d84a3f46c897b3</t>
  </si>
  <si>
    <t xml:space="preserve">a722658e5a3c</t>
  </si>
  <si>
    <t xml:space="preserve">src/main/java/org/traccar/protocol/TotemProtocolDecoder.java</t>
  </si>
  <si>
    <t xml:space="preserve">src/test/java/org/traccar/protocol/TotemProtocolDecoderTest.java</t>
  </si>
  <si>
    <t xml:space="preserve">a722658e5a3c2c15ceffa51a80b63bda758264bd</t>
  </si>
  <si>
    <t xml:space="preserve">traccar-traccar-a8a06ffd494f_5f75c257dc676796</t>
  </si>
  <si>
    <t xml:space="preserve">a8a06ffd494f</t>
  </si>
  <si>
    <t xml:space="preserve">a8a06ffd494fc7161ca0edca39ae35be865a383f</t>
  </si>
  <si>
    <t xml:space="preserve">traccar-traccar-a9c311855a49_31ebea6061d58597</t>
  </si>
  <si>
    <t xml:space="preserve">a9c311855a49</t>
  </si>
  <si>
    <t xml:space="preserve">src/main/java/org/traccar/protocol/PuiProtocolDecoder.java</t>
  </si>
  <si>
    <t xml:space="preserve">src/test/java/org/traccar/protocol/PuiProtocolDecoderTest.java</t>
  </si>
  <si>
    <t xml:space="preserve">a9c311855a495901935c2cb70252fa917fd88232</t>
  </si>
  <si>
    <t xml:space="preserve">traccar-traccar-adbe25e9daa1_56ccc70be584e7ac</t>
  </si>
  <si>
    <t xml:space="preserve">adbe25e9daa1</t>
  </si>
  <si>
    <t xml:space="preserve">adbe25e9daa125e989c853068bc600c61234c342</t>
  </si>
  <si>
    <t xml:space="preserve">traccar-traccar-adbe25e9daa1_5a0712281b7fcdd6</t>
  </si>
  <si>
    <t xml:space="preserve">traccar-traccar-adbe25e9daa1_620d53e63baa1686</t>
  </si>
  <si>
    <t xml:space="preserve">src/main/java/org/traccar/web/WebServer.java</t>
  </si>
  <si>
    <t xml:space="preserve">src/test/java/org/traccar/web/WebServerTest.java</t>
  </si>
  <si>
    <t xml:space="preserve">traccar-traccar-ae1205dfdded_fe468cf9ea347ccc</t>
  </si>
  <si>
    <t xml:space="preserve">ae1205dfdded</t>
  </si>
  <si>
    <t xml:space="preserve">ae1205dfdded530e4cdf7bb665fe52cf197c33be</t>
  </si>
  <si>
    <t xml:space="preserve">traccar-traccar-b3c6e22fc19c_8fc50f548dfd6c4a</t>
  </si>
  <si>
    <t xml:space="preserve">b3c6e22fc19c</t>
  </si>
  <si>
    <t xml:space="preserve">b3c6e22fc19ceeceb0f318131538b5e1d260450c</t>
  </si>
  <si>
    <t xml:space="preserve">traccar-traccar-b4934e05aab6_01c7e27dc25d972b</t>
  </si>
  <si>
    <t xml:space="preserve">b4934e05aab6</t>
  </si>
  <si>
    <t xml:space="preserve">b4934e05aab6c875cd1c2d412102e041a79b9210</t>
  </si>
  <si>
    <t xml:space="preserve">traccar-traccar-b4934e05aab6_529279e624dd08cf</t>
  </si>
  <si>
    <t xml:space="preserve">traccar-traccar-b77131f4be38_467946cede0a0234</t>
  </si>
  <si>
    <t xml:space="preserve">b77131f4be38</t>
  </si>
  <si>
    <t xml:space="preserve">b77131f4be38295cb643e343613597a6d1ec6562</t>
  </si>
  <si>
    <t xml:space="preserve">traccar-traccar-bc99846b0c88_e79c0830fbabe84e</t>
  </si>
  <si>
    <t xml:space="preserve">bc99846b0c88</t>
  </si>
  <si>
    <t xml:space="preserve">bc99846b0c88ac41b96744edd23ef254f492c0b7</t>
  </si>
  <si>
    <t xml:space="preserve">traccar-traccar-c024d09744de_9d547c6b7ea5d00b</t>
  </si>
  <si>
    <t xml:space="preserve">c024d09744de</t>
  </si>
  <si>
    <t xml:space="preserve">c024d09744dea2db2d60f51bc6c1532284ffca4e</t>
  </si>
  <si>
    <t xml:space="preserve">traccar-traccar-c024d09744de_8773d7d950427c03</t>
  </si>
  <si>
    <t xml:space="preserve">src/main/java/org/traccar/protocol/Minifinder2ProtocolEncoder.java</t>
  </si>
  <si>
    <t xml:space="preserve">src/test/java/org/traccar/protocol/Minifinder2ProtocolEncoderTest.java</t>
  </si>
  <si>
    <t xml:space="preserve">traccar-traccar-c68e92043cb5_fe955fc2670b4d66</t>
  </si>
  <si>
    <t xml:space="preserve">c68e92043cb5</t>
  </si>
  <si>
    <t xml:space="preserve">c68e92043cb52f859de724781f2e5774c60d465b</t>
  </si>
  <si>
    <t xml:space="preserve">traccar-traccar-c68e92043cb5_ebb7ee1ed9673062</t>
  </si>
  <si>
    <t xml:space="preserve">src/main/java/org/traccar/protocol/HuaShengProtocolEncoder.java</t>
  </si>
  <si>
    <t xml:space="preserve">src/test/java/org/traccar/protocol/HuaShengProtocolEncoderTest.java</t>
  </si>
  <si>
    <t xml:space="preserve">traccar-traccar-cadcd2676adb_a7a127320b4860c1</t>
  </si>
  <si>
    <t xml:space="preserve">cadcd2676adb</t>
  </si>
  <si>
    <t xml:space="preserve">src/main/java/org/traccar/protocol/KhdProtocolDecoder.java</t>
  </si>
  <si>
    <t xml:space="preserve">src/test/java/org/traccar/protocol/KhdProtocolDecoderTest.java</t>
  </si>
  <si>
    <t xml:space="preserve">cadcd2676adbc1974265acb9ec6d43fc06932824</t>
  </si>
  <si>
    <t xml:space="preserve">traccar-traccar-d2ce5af34782_05bbb957a239d39b</t>
  </si>
  <si>
    <t xml:space="preserve">d2ce5af34782</t>
  </si>
  <si>
    <t xml:space="preserve">d2ce5af3478265c6c047f5ec4bf206baebb467d1</t>
  </si>
  <si>
    <t xml:space="preserve">traccar-traccar-d4c204914f90_9aff429e212f532a</t>
  </si>
  <si>
    <t xml:space="preserve">d4c204914f90</t>
  </si>
  <si>
    <t xml:space="preserve">d4c204914f907f7bbdf34a965500797b03fafdf8</t>
  </si>
  <si>
    <t xml:space="preserve">traccar-traccar-d4db066c6e02_1fd7f1425af300f5</t>
  </si>
  <si>
    <t xml:space="preserve">d4db066c6e02</t>
  </si>
  <si>
    <t xml:space="preserve">d4db066c6e0295a4c8646d82a982cd82e42c84c4</t>
  </si>
  <si>
    <t xml:space="preserve">traccar-traccar-d4efbfa2a7d9_4c7fe16b0de26bef</t>
  </si>
  <si>
    <t xml:space="preserve">d4efbfa2a7d9</t>
  </si>
  <si>
    <t xml:space="preserve">d4efbfa2a7d9d8410540fd2b6409c4086da9cec5</t>
  </si>
  <si>
    <t xml:space="preserve">traccar-traccar-d797671b2ce6_37df83ac3ac02dd2</t>
  </si>
  <si>
    <t xml:space="preserve">d797671b2ce6</t>
  </si>
  <si>
    <t xml:space="preserve">d797671b2ce6fb70ac868bb96f87be8b2a85e4f9</t>
  </si>
  <si>
    <t xml:space="preserve">traccar-traccar-d979ab718ff0_24e5180d716d4b60</t>
  </si>
  <si>
    <t xml:space="preserve">d979ab718ff0</t>
  </si>
  <si>
    <t xml:space="preserve">d979ab718ff043c6ec6b815e9833621b9fe0e566</t>
  </si>
  <si>
    <t xml:space="preserve">traccar-traccar-dfc546a26f5b_4b74c56f3464246e</t>
  </si>
  <si>
    <t xml:space="preserve">dfc546a26f5b</t>
  </si>
  <si>
    <t xml:space="preserve">dfc546a26f5b7b9486df31ccce812f44bd41168f</t>
  </si>
  <si>
    <t xml:space="preserve">traccar-traccar-e73f36db83b9_559d1de717194e08</t>
  </si>
  <si>
    <t xml:space="preserve">e73f36db83b9</t>
  </si>
  <si>
    <t xml:space="preserve">e73f36db83b9dc00a5dfe0a9625f40bd2698c3fa</t>
  </si>
  <si>
    <t xml:space="preserve">traccar-traccar-ec2b7b64a83a_8897313862bbb780</t>
  </si>
  <si>
    <t xml:space="preserve">ec2b7b64a83a</t>
  </si>
  <si>
    <t xml:space="preserve">src/main/java/org/traccar/protocol/Jt600FrameDecoder.java</t>
  </si>
  <si>
    <t xml:space="preserve">src/test/java/org/traccar/protocol/Jt600FrameDecoderTest.java</t>
  </si>
  <si>
    <t xml:space="preserve">ec2b7b64a83aa1c3dcd0cd69c1ae7b2d0d8a7864</t>
  </si>
  <si>
    <t xml:space="preserve">traccar-traccar-ec2b7b64a83a_b6b928914fdf2e6c</t>
  </si>
  <si>
    <t xml:space="preserve">src/main/java/org/traccar/protocol/Jt600ProtocolDecoder.java</t>
  </si>
  <si>
    <t xml:space="preserve">src/test/java/org/traccar/protocol/Jt600ProtocolDecoderTest.java</t>
  </si>
  <si>
    <t xml:space="preserve">traccar-traccar-ed3950fbdccf_38e2ba9ce11acb97</t>
  </si>
  <si>
    <t xml:space="preserve">ed3950fbdccf</t>
  </si>
  <si>
    <t xml:space="preserve">src/main/java/org/traccar/protocol/GatorProtocolEncoder.java</t>
  </si>
  <si>
    <t xml:space="preserve">src/test/java/org/traccar/protocol/GatorProtocolEncoderTest.java</t>
  </si>
  <si>
    <t xml:space="preserve">ed3950fbdccfbd118ed898066fc74c93e7542ec4</t>
  </si>
  <si>
    <t xml:space="preserve">traccar-traccar-ee3cbd4aba2e_651298c17d31b61e</t>
  </si>
  <si>
    <t xml:space="preserve">ee3cbd4aba2e</t>
  </si>
  <si>
    <t xml:space="preserve">ee3cbd4aba2e7df2ac2da4292caa87a63b171a87</t>
  </si>
  <si>
    <t xml:space="preserve">traccar-traccar-f1de2533c352_24f22fc2f8c54219</t>
  </si>
  <si>
    <t xml:space="preserve">f1de2533c352</t>
  </si>
  <si>
    <t xml:space="preserve">f1de2533c3527aefc6f9eb15277128bb8d8ec3cb</t>
  </si>
  <si>
    <t xml:space="preserve">traccar-traccar-f4d10160d951_a630b50d8115854f</t>
  </si>
  <si>
    <t xml:space="preserve">f4d10160d951</t>
  </si>
  <si>
    <t xml:space="preserve">f4d10160d9513eb190169d0ab335c3d99c6d4e31</t>
  </si>
  <si>
    <t xml:space="preserve">traccar-traccar-f8fb3f67bc0b_d7c37b03e848a2b3</t>
  </si>
  <si>
    <t xml:space="preserve">f8fb3f67bc0b</t>
  </si>
  <si>
    <t xml:space="preserve">src/main/java/org/traccar/protocol/TzoneProtocolDecoder.java</t>
  </si>
  <si>
    <t xml:space="preserve">src/test/java/org/traccar/protocol/TzoneProtocolDecoderTest.java</t>
  </si>
  <si>
    <t xml:space="preserve">f8fb3f67bc0bc44f9da89c3dabbec7406751e3c6</t>
  </si>
  <si>
    <t xml:space="preserve">traccar-traccar-f92bde208800_16e09a241023e30d</t>
  </si>
  <si>
    <t xml:space="preserve">f92bde208800</t>
  </si>
  <si>
    <t xml:space="preserve">f92bde2088001c34186eb3897cece90171a319d1</t>
  </si>
  <si>
    <t xml:space="preserve">traccar-traccar-fa2a61f6487c_4d4d3d7d0a328e6f</t>
  </si>
  <si>
    <t xml:space="preserve">fa2a61f6487c</t>
  </si>
  <si>
    <t xml:space="preserve">fa2a61f6487c9ad8a338cdacf18f15be9c299cfd</t>
  </si>
  <si>
    <t xml:space="preserve">traccar-traccar-fdbd269b9b99_b27b55733bef0a29</t>
  </si>
  <si>
    <t xml:space="preserve">fdbd269b9b99</t>
  </si>
  <si>
    <t xml:space="preserve">src/main/java/org/traccar/protocol/FreematicsProtocolDecoder.java</t>
  </si>
  <si>
    <t xml:space="preserve">src/test/java/org/traccar/protocol/FreematicsProtocolDecoderTest.java</t>
  </si>
  <si>
    <t xml:space="preserve">fdbd269b9b99de074e2fd9d99d1702620102801b</t>
  </si>
  <si>
    <t xml:space="preserve">xtremexp-UT4X-Converter-e16bad18b562_d59c3ed17959552c</t>
  </si>
  <si>
    <t xml:space="preserve">xtremexp/UT4X-Converter</t>
  </si>
  <si>
    <t xml:space="preserve">e16bad18b562</t>
  </si>
  <si>
    <t xml:space="preserve">src/main/java/org/xtx/ut4converter/t3d/T3DUtils.java</t>
  </si>
  <si>
    <t xml:space="preserve">src/test/java/org/xtx/ut4converter/t3d/T3DUtilsTest.java</t>
  </si>
  <si>
    <t xml:space="preserve">e16bad18b562c554a0db5bfab6496553d9ba8349</t>
  </si>
  <si>
    <t xml:space="preserve">File trong bug_patch</t>
  </si>
  <si>
    <t xml:space="preserve">Lý do loại</t>
  </si>
  <si>
    <t xml:space="preserve">Giải thích</t>
  </si>
  <si>
    <t xml:space="preserve">aws/event-ruler</t>
  </si>
  <si>
    <t xml:space="preserve">68481127e050</t>
  </si>
  <si>
    <t xml:space="preserve">src/main/software/amazon/event/ruler/JsonRuleCompiler.java</t>
  </si>
  <si>
    <t xml:space="preserve">NOT_UNDER_SRC_MAIN_JAVA</t>
  </si>
  <si>
    <t xml:space="preserve">Mã nguồn không nằm trong src/main/java (bố cục thư mục không chuẩn)</t>
  </si>
  <si>
    <t xml:space="preserve">src/main/software/amazon/event/ruler/RuleCompiler.java</t>
  </si>
  <si>
    <t xml:space="preserve">iipc/jwarc</t>
  </si>
  <si>
    <t xml:space="preserve">6c7083b72172</t>
  </si>
  <si>
    <t xml:space="preserve">src/org/netpreserve/jwarc/MessageParser.java</t>
  </si>
  <si>
    <t xml:space="preserve">62dffb16a1a8</t>
  </si>
  <si>
    <t xml:space="preserve">src/org/netpreserve/jwarc/WarcParser.java</t>
  </si>
  <si>
    <t xml:space="preserve">src/org/netpreserve/jwarc/WarcReader.java</t>
  </si>
  <si>
    <t xml:space="preserve">e00ce46c1e36</t>
  </si>
  <si>
    <t xml:space="preserve">src/org/netpreserve/jwarc/cdx/CdxRequestEncoder.java</t>
  </si>
  <si>
    <t xml:space="preserve">d47a479c9025</t>
  </si>
  <si>
    <t xml:space="preserve">src/org/netpreserve/jwarc/cdx/CdxWriter.java</t>
  </si>
  <si>
    <t xml:space="preserve">Bindambc/whatsapp-business-java-api</t>
  </si>
  <si>
    <t xml:space="preserve">362caf5eb33c</t>
  </si>
  <si>
    <t xml:space="preserve">src/main/java/com/whatsapp/api/domain/messages/Language.java</t>
  </si>
  <si>
    <t xml:space="preserve">NO_PAIRED_TEST</t>
  </si>
  <si>
    <t xml:space="preserve">Không có test người viết tên &lt;Tên&gt;Test, Test&lt;Tên&gt;, &lt;Tên&gt;Tests trong module (quy tắc bắt buộc có test ghép, chốt 11/10/2026)</t>
  </si>
  <si>
    <t xml:space="preserve">fd321cb63437</t>
  </si>
  <si>
    <t xml:space="preserve">src/main/java/com/whatsapp/api/domain/templates/QuickReplyButton.java</t>
  </si>
  <si>
    <t xml:space="preserve">src/main/java/com/whatsapp/api/domain/templates/UrlButton.java</t>
  </si>
  <si>
    <t xml:space="preserve">688920f27706</t>
  </si>
  <si>
    <t xml:space="preserve">src/main/java/network/brightspots/rcv/Logger.java</t>
  </si>
  <si>
    <t xml:space="preserve">src/main/java/network/brightspots/rcv/ResultsWriter.java</t>
  </si>
  <si>
    <t xml:space="preserve">c80e6272c83a</t>
  </si>
  <si>
    <t xml:space="preserve">src/main/java/me/gosimple/nbvcxz/resources/ConfigurationBuilder.java</t>
  </si>
  <si>
    <t xml:space="preserve">src/main/java/me/gosimple/nbvcxz/resources/Dictionary.java</t>
  </si>
  <si>
    <t xml:space="preserve">IBM/JSONata4Java</t>
  </si>
  <si>
    <t xml:space="preserve">1485a41ccf50</t>
  </si>
  <si>
    <t xml:space="preserve">src/main/java/com/api/jsonata4java/expressions/OrderByOperator.java</t>
  </si>
  <si>
    <t xml:space="preserve">Moderocky/ByteSkript</t>
  </si>
  <si>
    <t xml:space="preserve">1dce2997df7f</t>
  </si>
  <si>
    <t xml:space="preserve">src/main/java/org/byteskript/skript/compiler/DebugSkriptCompiler.java</t>
  </si>
  <si>
    <t xml:space="preserve">Netflix/frigga</t>
  </si>
  <si>
    <t xml:space="preserve">126b52a55863</t>
  </si>
  <si>
    <t xml:space="preserve">src/main/java/com/netflix/frigga/ami/AppVersion.java</t>
  </si>
  <si>
    <t xml:space="preserve">src/main/java/util/validation/Validator.java</t>
  </si>
  <si>
    <t xml:space="preserve">src/main/java/org/doble/commands/CommandADR.java</t>
  </si>
  <si>
    <t xml:space="preserve">src/main/java/org/doble/commands/CommandVersion.java</t>
  </si>
  <si>
    <t xml:space="preserve">assertj/assertj-vavr</t>
  </si>
  <si>
    <t xml:space="preserve">f4d7f276e87c</t>
  </si>
  <si>
    <t xml:space="preserve">src/main/java/org/assertj/vavr/api/AbstractSeqAssert.java</t>
  </si>
  <si>
    <t xml:space="preserve">f345606a29bd</t>
  </si>
  <si>
    <t xml:space="preserve">src/main/java/bsh/Operators.java</t>
  </si>
  <si>
    <t xml:space="preserve">src/main/java/bsh/This.java</t>
  </si>
  <si>
    <t xml:space="preserve">bhlangonijr/chesslib</t>
  </si>
  <si>
    <t xml:space="preserve">cf68677eac6d</t>
  </si>
  <si>
    <t xml:space="preserve">src/main/java/com/github/bhlangonijr/chesslib/pgn/GameLoader.java</t>
  </si>
  <si>
    <t xml:space="preserve">cdimascio/dotenv-java</t>
  </si>
  <si>
    <t xml:space="preserve">bbfbcfa63e3a</t>
  </si>
  <si>
    <t xml:space="preserve">src/main/java/io/github/cdimascio/dotenv/internal/DotenvParser.java</t>
  </si>
  <si>
    <t xml:space="preserve">cloudsimplus/cloudsimplus</t>
  </si>
  <si>
    <t xml:space="preserve">61c8b942d1ec</t>
  </si>
  <si>
    <t xml:space="preserve">src/main/java/org/cloudsimplus/hosts/HostAbstract.java</t>
  </si>
  <si>
    <t xml:space="preserve">crowdin/crowdin-api-client-java</t>
  </si>
  <si>
    <t xml:space="preserve">f0f22b2b56d7</t>
  </si>
  <si>
    <t xml:space="preserve">src/main/java/com/crowdin/client/core/http/impl/json/JacksonJsonTransformer.java</t>
  </si>
  <si>
    <t xml:space="preserve">ezylang/EvalEx</t>
  </si>
  <si>
    <t xml:space="preserve">7c39c5478a39</t>
  </si>
  <si>
    <t xml:space="preserve">src/main/java/com/ezylang/evalex/parser/Tokenizer.java</t>
  </si>
  <si>
    <t xml:space="preserve">giraud/reasonml-idea-plugin</t>
  </si>
  <si>
    <t xml:space="preserve">11d991db162a</t>
  </si>
  <si>
    <t xml:space="preserve">src/main/java/com/reason/ide/structure/StructureViewElement.java</t>
  </si>
  <si>
    <t xml:space="preserve">src/main/java/com/reason/lang/core/psi/impl/RPsiModuleSignature.java</t>
  </si>
  <si>
    <t xml:space="preserve">69749af01bcf</t>
  </si>
  <si>
    <t xml:space="preserve">src/main/java/com/reason/lang/ocaml/OclParser.java</t>
  </si>
  <si>
    <t xml:space="preserve">f665f0fc21e6</t>
  </si>
  <si>
    <t xml:space="preserve">src/main/java/com/reason/lang/rescript/ResParser.java</t>
  </si>
  <si>
    <t xml:space="preserve">gitbucket/markedj</t>
  </si>
  <si>
    <t xml:space="preserve">2dce74e12083</t>
  </si>
  <si>
    <t xml:space="preserve">src/main/java/io/github/gitbucket/markedj/Grammer.java</t>
  </si>
  <si>
    <t xml:space="preserve">src/main/java/org/jsoup/Connection.java</t>
  </si>
  <si>
    <t xml:space="preserve">src/main/java/org/jsoup/helper/UrlBuilder.java</t>
  </si>
  <si>
    <t xml:space="preserve">1e69577e358c</t>
  </si>
  <si>
    <t xml:space="preserve">6ccd158754e2</t>
  </si>
  <si>
    <t xml:space="preserve">1657e8fd6588</t>
  </si>
  <si>
    <t xml:space="preserve">src/main/java/org/jsoup/nodes/DataNode.java</t>
  </si>
  <si>
    <t xml:space="preserve">src/main/java/org/jsoup/parser/Token.java</t>
  </si>
  <si>
    <t xml:space="preserve">2a4a9cf83dea</t>
  </si>
  <si>
    <t xml:space="preserve">src/main/java/org/jsoup/select/StructuralEvaluator.java</t>
  </si>
  <si>
    <t xml:space="preserve">60ec3bf0273b</t>
  </si>
  <si>
    <t xml:space="preserve">src/main/java/com/jitterted/mobreg/domain/Ensemble.java</t>
  </si>
  <si>
    <t xml:space="preserve">14a39138787f</t>
  </si>
  <si>
    <t xml:space="preserve">6207c9d46460</t>
  </si>
  <si>
    <t xml:space="preserve">src/main/java/it/mulders/mcs/search/printer/BuildrOutput.java</t>
  </si>
  <si>
    <t xml:space="preserve">src/main/java/it/mulders/mcs/search/printer/GradleGroovyOutput.java</t>
  </si>
  <si>
    <t xml:space="preserve">src/main/java/it/mulders/mcs/search/printer/GradleGroovyShortOutput.java</t>
  </si>
  <si>
    <t xml:space="preserve">src/main/java/it/mulders/mcs/search/printer/GradleKotlinOutput.java</t>
  </si>
  <si>
    <t xml:space="preserve">src/main/java/it/mulders/mcs/search/printer/GrapeOutput.java</t>
  </si>
  <si>
    <t xml:space="preserve">src/main/java/it/mulders/mcs/search/printer/IvyXmlOutput.java</t>
  </si>
  <si>
    <t xml:space="preserve">src/main/java/it/mulders/mcs/search/printer/LeiningenOutput.java</t>
  </si>
  <si>
    <t xml:space="preserve">src/main/java/it/mulders/mcs/search/printer/PomXmlOutput.java</t>
  </si>
  <si>
    <t xml:space="preserve">src/main/java/it/mulders/mcs/search/printer/SbtOutput.java</t>
  </si>
  <si>
    <t xml:space="preserve">beb7e5d466c7</t>
  </si>
  <si>
    <t xml:space="preserve">src/main/java/org/semver4j/internal/range/processor/XRangeProcessor.java</t>
  </si>
  <si>
    <t xml:space="preserve">slub/urnlib</t>
  </si>
  <si>
    <t xml:space="preserve">106be8d1b804</t>
  </si>
  <si>
    <t xml:space="preserve">src/main/java/de/slub/urn/RQF_RFC8141.java</t>
  </si>
  <si>
    <t xml:space="preserve">src/main/java/net/snowflake/client/jdbc/SnowflakeConnectString.java</t>
  </si>
  <si>
    <t xml:space="preserve">15a45aca6bcd</t>
  </si>
  <si>
    <t xml:space="preserve">src/main/java/net/snowflake/client/jdbc/SnowflakeFileTransferAgent.java</t>
  </si>
  <si>
    <t xml:space="preserve">spring-projects/spring-guice</t>
  </si>
  <si>
    <t xml:space="preserve">ce15b8e5802a</t>
  </si>
  <si>
    <t xml:space="preserve">src/main/java/org/springframework/guice/module/SpringModule.java</t>
  </si>
  <si>
    <t xml:space="preserve">st-tu-dresden/salespoint</t>
  </si>
  <si>
    <t xml:space="preserve">85a764f892aa</t>
  </si>
  <si>
    <t xml:space="preserve">src/main/java/org/salespointframework/accountancy/PersistentAccountancy.java</t>
  </si>
  <si>
    <t xml:space="preserve">src/main/java/org/traccar/api/MediaFilter.java</t>
  </si>
  <si>
    <t xml:space="preserve">src/main/java/org/traccar/api/resource/CommandResource.java</t>
  </si>
  <si>
    <t xml:space="preserve">src/main/java/org/traccar/api/resource/ReportResource.java</t>
  </si>
  <si>
    <t xml:space="preserve">src/main/java/org/traccar/handler/ComputedAttributesHandler.java</t>
  </si>
  <si>
    <t xml:space="preserve">src/main/java/org/traccar/helper/ClassScanner.java</t>
  </si>
  <si>
    <t xml:space="preserve">src/main/java/org/traccar/helper/Parser.java</t>
  </si>
  <si>
    <t xml:space="preserve">src/main/java/org/traccar/helper/StringUtil.java</t>
  </si>
  <si>
    <t xml:space="preserve">src/main/java/org/traccar/model/ExtendedModel.java</t>
  </si>
  <si>
    <t xml:space="preserve">d244b4bc4999</t>
  </si>
  <si>
    <t xml:space="preserve">src/main/java/org/traccar/model/Report.java</t>
  </si>
  <si>
    <t xml:space="preserve">src/main/java/org/traccar/protocol/HuaShengProtocol.java</t>
  </si>
  <si>
    <t xml:space="preserve">src/main/java/org/traccar/reports/common/ReportExecutor.java</t>
  </si>
  <si>
    <t xml:space="preserve">src/main/java/org/traccar/reports/common/ReportMailer.java</t>
  </si>
  <si>
    <t xml:space="preserve">src/main/java/org/traccar/schedule/ScheduleManager.java</t>
  </si>
  <si>
    <t xml:space="preserve">src/main/java/org/traccar/schedule/TaskReports.java</t>
  </si>
  <si>
    <t xml:space="preserve">src/main/java/org/traccar/web/CharResponseWrapper.java</t>
  </si>
  <si>
    <t xml:space="preserve">src/main/java/org/traccar/web/ModernDefaultServlet.java</t>
  </si>
  <si>
    <t xml:space="preserve">src/main/java/org/traccar/web/OverrideFilter.java</t>
  </si>
  <si>
    <t xml:space="preserve">src/main/java/org/traccar/web/WebModule.java</t>
  </si>
  <si>
    <t xml:space="preserve">vmzakharov/dataframe-ec</t>
  </si>
  <si>
    <t xml:space="preserve">e9eb4dbe0e70</t>
  </si>
  <si>
    <t xml:space="preserve">src/main/java/io/github/vmzakharov/ecdataframe/dataframe/compare/ComparisonResult.java</t>
  </si>
  <si>
    <t xml:space="preserve">12af99192d24</t>
  </si>
  <si>
    <t xml:space="preserve">src/main/java/io/github/vmzakharov/ecdataframe/dsl/value/StringValue.java</t>
  </si>
  <si>
    <t xml:space="preserve">w3c/epubcheck</t>
  </si>
  <si>
    <t xml:space="preserve">0759a82ae407</t>
  </si>
  <si>
    <t xml:space="preserve">src/main/java/com/adobe/epubcheck/opf/OPFChecker30.java</t>
  </si>
  <si>
    <t xml:space="preserve">src/main/java/com/adobe/epubcheck/ops/OPSHandler30.java</t>
  </si>
  <si>
    <t xml:space="preserve">49aacb238c3e</t>
  </si>
  <si>
    <t xml:space="preserve">src/main/java/com/adobe/epubcheck/tool/EpubChecker.java</t>
  </si>
  <si>
    <t xml:space="preserve">7804c78a53f2</t>
  </si>
  <si>
    <t xml:space="preserve">src/main/java/org/w3c/epubcheck/core/references/ResourceReferencesChecker.java</t>
  </si>
  <si>
    <t xml:space="preserve">wmixvideo/nfe</t>
  </si>
  <si>
    <t xml:space="preserve">67518e14db7e</t>
  </si>
  <si>
    <t xml:space="preserve">src/main/java/com/fincatto/documentofiscal/mdfe3/classes/nota/MDFInfoModalRodoviarioVeiculoReboque.java</t>
  </si>
  <si>
    <t xml:space="preserve">e719841eb260</t>
  </si>
  <si>
    <t xml:space="preserve">src/main/java/org/xtx/ut4converter/t3d/T3DActor.java</t>
  </si>
  <si>
    <t xml:space="preserve">src/main/java/org/xtx/ut4converter/t3d/T3DSimpleProperty.java</t>
  </si>
  <si>
    <t xml:space="preserve">CUT ứng viên</t>
  </si>
  <si>
    <t xml:space="preserve">ELIGIBLE lần 1</t>
  </si>
  <si>
    <t xml:space="preserve">ELIGIBLE sau chạy lại</t>
  </si>
  <si>
    <t xml:space="preserve">Số bug có CUT ELIGIBLE</t>
  </si>
  <si>
    <t xml:space="preserve">Vào tập đánh giá?</t>
  </si>
  <si>
    <t xml:space="preserve">Có bug dư cho pilot?</t>
  </si>
  <si>
    <t xml:space="preserve">Tổng</t>
  </si>
  <si>
    <t xml:space="preserve">Trạng thái preflight</t>
  </si>
  <si>
    <t xml:space="preserve">Lần 1</t>
  </si>
  <si>
    <t xml:space="preserve">Sau chạy lại</t>
  </si>
  <si>
    <t xml:space="preserve">Thay đổi</t>
  </si>
  <si>
    <t xml:space="preserve">Ý nghĩa / nguyên nhân chính</t>
  </si>
  <si>
    <t xml:space="preserve">Qua đủ các bước: checkout, build main, build test, phân tích AST, compile probe</t>
  </si>
  <si>
    <t xml:space="preserve">Lần 1: 55 ca do file probe của công cụ (thiếu throws, null mơ hồ, plugin format). Còn 1 ca: spring-javaformat 0.0.31 không nhận cờ skip</t>
  </si>
  <si>
    <t xml:space="preserve">Loại theo chính sách: enum/record, abstract class, mã sinh tự động, class lồng</t>
  </si>
  <si>
    <t xml:space="preserve">Build mã production thất bại; lần 1 có aws-java-nio-spi-for-s3 do chọn JDK 8 cho project dùng --release</t>
  </si>
  <si>
    <t xml:space="preserve">Không tải được dependency</t>
  </si>
  <si>
    <t xml:space="preserve">Phiên bản JDK yêu cầu không khớp hoặc không có</t>
  </si>
  <si>
    <t xml:space="preserve">Test sẵn có của repository không compile được</t>
  </si>
  <si>
    <t xml:space="preserve">Build vượt 900 giây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</si>
</sst>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80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199</v>
      </c>
      <c r="C5" s="5" t="n">
        <v>55</v>
      </c>
      <c r="D5" s="4" t="s">
        <v>7</v>
      </c>
    </row>
    <row r="6" customFormat="false" ht="15" hidden="false" customHeight="false" outlineLevel="0" collapsed="false">
      <c r="A6" s="4" t="s">
        <v>8</v>
      </c>
      <c r="B6" s="4" t="n">
        <f aca="false">COUNTA('Chi tiết CUT'!$A$2:$A$181)+COUNTA('Loại trước preflight'!$D$2:$D$93)</f>
        <v>272</v>
      </c>
      <c r="C6" s="4"/>
      <c r="D6" s="4" t="s">
        <v>9</v>
      </c>
    </row>
    <row r="7" customFormat="false" ht="15" hidden="false" customHeight="false" outlineLevel="0" collapsed="false">
      <c r="A7" s="4" t="s">
        <v>10</v>
      </c>
      <c r="B7" s="5" t="n">
        <f aca="false">COUNTIF('Loại trước preflight'!$D$2:$D$93,"NOT_UNDER_SRC_MAIN_JAVA")</f>
        <v>9</v>
      </c>
      <c r="C7" s="5" t="n">
        <v>2</v>
      </c>
      <c r="D7" s="4" t="s">
        <v>11</v>
      </c>
    </row>
    <row r="8" customFormat="false" ht="15" hidden="false" customHeight="false" outlineLevel="0" collapsed="false">
      <c r="A8" s="4" t="s">
        <v>12</v>
      </c>
      <c r="B8" s="4" t="n">
        <f aca="false">COUNTIF('Loại trước preflight'!$D$2:$D$93,"NO_PAIRED_TEST")</f>
        <v>83</v>
      </c>
      <c r="C8" s="4"/>
      <c r="D8" s="4" t="s">
        <v>13</v>
      </c>
    </row>
    <row r="9" customFormat="false" ht="15" hidden="false" customHeight="false" outlineLevel="0" collapsed="false">
      <c r="A9" s="4" t="s">
        <v>14</v>
      </c>
      <c r="B9" s="4" t="n">
        <f aca="false">COUNTA('Chi tiết CUT'!$A$2:$A$181)</f>
        <v>180</v>
      </c>
      <c r="C9" s="4" t="n">
        <f aca="false">COUNTA(Repository!$A$2:$A$36)</f>
        <v>35</v>
      </c>
      <c r="D9" s="4" t="s">
        <v>15</v>
      </c>
    </row>
    <row r="10" customFormat="false" ht="15" hidden="false" customHeight="false" outlineLevel="0" collapsed="false">
      <c r="A10" s="4" t="s">
        <v>16</v>
      </c>
      <c r="B10" s="4" t="n">
        <f aca="false">COUNTIF('Chi tiết CUT'!$I$2:$I$181,"ELIGIBLE")</f>
        <v>96</v>
      </c>
      <c r="C10" s="4" t="n">
        <f aca="false">SUMPRODUCT(('Chi tiết CUT'!$I$2:$I$181="ELIGIBLE")/COUNTIFS('Chi tiết CUT'!$B$2:$B$181,'Chi tiết CUT'!$B$2:$B$181,'Chi tiết CUT'!$I$2:$I$181,'Chi tiết CUT'!$I$2:$I$181))</f>
        <v>17</v>
      </c>
      <c r="D10" s="4" t="s">
        <v>17</v>
      </c>
    </row>
    <row r="11" customFormat="false" ht="15" hidden="false" customHeight="false" outlineLevel="0" collapsed="false">
      <c r="A11" s="6" t="s">
        <v>18</v>
      </c>
      <c r="B11" s="6" t="n">
        <f aca="false">COUNTIF('Chi tiết CUT'!$L$2:$L$181,"ELIGIBLE")</f>
        <v>152</v>
      </c>
      <c r="C11" s="6" t="n">
        <f aca="false">SUMPRODUCT(('Chi tiết CUT'!$L$2:$L$181="ELIGIBLE")/COUNTIFS('Chi tiết CUT'!$B$2:$B$181,'Chi tiết CUT'!$B$2:$B$181,'Chi tiết CUT'!$L$2:$L$181,'Chi tiết CUT'!$L$2:$L$181))</f>
        <v>25</v>
      </c>
      <c r="D11" s="6" t="s">
        <v>19</v>
      </c>
    </row>
    <row r="12" customFormat="false" ht="15" hidden="false" customHeight="false" outlineLevel="0" collapsed="false">
      <c r="A12" s="6" t="s">
        <v>20</v>
      </c>
      <c r="B12" s="6"/>
      <c r="C12" s="6" t="n">
        <f aca="false">Repository!G37</f>
        <v>8</v>
      </c>
      <c r="D12" s="6" t="s">
        <v>21</v>
      </c>
    </row>
    <row r="14" customFormat="false" ht="15" hidden="false" customHeight="false" outlineLevel="0" collapsed="false">
      <c r="A14" s="7" t="s">
        <v>5</v>
      </c>
    </row>
    <row r="15" customFormat="false" ht="42" hidden="false" customHeight="true" outlineLevel="0" collapsed="false">
      <c r="A15" s="8" t="s">
        <v>22</v>
      </c>
      <c r="B15" s="8"/>
      <c r="C15" s="8"/>
      <c r="D15" s="8"/>
    </row>
    <row r="16" customFormat="false" ht="42" hidden="false" customHeight="true" outlineLevel="0" collapsed="false">
      <c r="A16" s="8" t="s">
        <v>23</v>
      </c>
      <c r="B16" s="8"/>
      <c r="C16" s="8"/>
      <c r="D16" s="8"/>
    </row>
    <row r="17" customFormat="false" ht="42" hidden="false" customHeight="true" outlineLevel="0" collapsed="false">
      <c r="A17" s="8" t="s">
        <v>24</v>
      </c>
      <c r="B17" s="8"/>
      <c r="C17" s="8"/>
      <c r="D17" s="8"/>
    </row>
    <row r="18" customFormat="false" ht="42" hidden="false" customHeight="true" outlineLevel="0" collapsed="false">
      <c r="A18" s="8" t="s">
        <v>25</v>
      </c>
      <c r="B18" s="8"/>
      <c r="C18" s="8"/>
      <c r="D18" s="8"/>
    </row>
  </sheetData>
  <mergeCells count="5">
    <mergeCell ref="A2:D2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6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22"/>
    <col collapsed="false" customWidth="true" hidden="false" outlineLevel="0" max="13" min="13" style="0" width="26"/>
    <col collapsed="false" customWidth="true" hidden="false" outlineLevel="0" max="14" min="14" style="0" width="42"/>
  </cols>
  <sheetData>
    <row r="1" customFormat="false" ht="35.0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</row>
    <row r="2" customFormat="false" ht="15" hidden="false" customHeight="false" outlineLevel="0" collapsed="false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/>
      <c r="K2" s="4" t="s">
        <v>49</v>
      </c>
      <c r="L2" s="9" t="s">
        <v>48</v>
      </c>
      <c r="M2" s="4"/>
      <c r="N2" s="4" t="s">
        <v>50</v>
      </c>
    </row>
    <row r="3" customFormat="false" ht="15" hidden="false" customHeight="false" outlineLevel="0" collapsed="false">
      <c r="A3" s="4" t="s">
        <v>51</v>
      </c>
      <c r="B3" s="4" t="s">
        <v>41</v>
      </c>
      <c r="C3" s="4" t="s">
        <v>52</v>
      </c>
      <c r="D3" s="4" t="s">
        <v>53</v>
      </c>
      <c r="E3" s="4" t="s">
        <v>54</v>
      </c>
      <c r="F3" s="4" t="s">
        <v>45</v>
      </c>
      <c r="G3" s="4" t="s">
        <v>46</v>
      </c>
      <c r="H3" s="4" t="s">
        <v>47</v>
      </c>
      <c r="I3" s="4" t="s">
        <v>48</v>
      </c>
      <c r="J3" s="4"/>
      <c r="K3" s="4" t="s">
        <v>49</v>
      </c>
      <c r="L3" s="9" t="s">
        <v>48</v>
      </c>
      <c r="M3" s="4"/>
      <c r="N3" s="4" t="s">
        <v>55</v>
      </c>
    </row>
    <row r="4" customFormat="false" ht="15" hidden="false" customHeight="false" outlineLevel="0" collapsed="false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47</v>
      </c>
      <c r="I4" s="4" t="s">
        <v>63</v>
      </c>
      <c r="J4" s="4" t="s">
        <v>63</v>
      </c>
      <c r="K4" s="4" t="s">
        <v>64</v>
      </c>
      <c r="L4" s="10" t="s">
        <v>63</v>
      </c>
      <c r="M4" s="4" t="s">
        <v>63</v>
      </c>
      <c r="N4" s="4" t="s">
        <v>65</v>
      </c>
    </row>
    <row r="5" customFormat="false" ht="15" hidden="false" customHeight="false" outlineLevel="0" collapsed="false">
      <c r="A5" s="4" t="s">
        <v>66</v>
      </c>
      <c r="B5" s="4" t="s">
        <v>67</v>
      </c>
      <c r="C5" s="4" t="s">
        <v>68</v>
      </c>
      <c r="D5" s="4" t="s">
        <v>69</v>
      </c>
      <c r="E5" s="4" t="s">
        <v>70</v>
      </c>
      <c r="F5" s="4" t="s">
        <v>61</v>
      </c>
      <c r="G5" s="4" t="s">
        <v>62</v>
      </c>
      <c r="H5" s="4" t="s">
        <v>47</v>
      </c>
      <c r="I5" s="4" t="s">
        <v>71</v>
      </c>
      <c r="J5" s="4" t="s">
        <v>71</v>
      </c>
      <c r="K5" s="4" t="s">
        <v>64</v>
      </c>
      <c r="L5" s="10" t="s">
        <v>71</v>
      </c>
      <c r="M5" s="4" t="s">
        <v>71</v>
      </c>
      <c r="N5" s="4" t="s">
        <v>72</v>
      </c>
    </row>
    <row r="6" customFormat="false" ht="15" hidden="false" customHeight="false" outlineLevel="0" collapsed="false">
      <c r="A6" s="4" t="s">
        <v>73</v>
      </c>
      <c r="B6" s="4" t="s">
        <v>74</v>
      </c>
      <c r="C6" s="4" t="s">
        <v>75</v>
      </c>
      <c r="D6" s="4" t="s">
        <v>76</v>
      </c>
      <c r="E6" s="4" t="s">
        <v>77</v>
      </c>
      <c r="F6" s="4" t="s">
        <v>45</v>
      </c>
      <c r="G6" s="4" t="s">
        <v>78</v>
      </c>
      <c r="H6" s="4" t="s">
        <v>47</v>
      </c>
      <c r="I6" s="4" t="s">
        <v>48</v>
      </c>
      <c r="J6" s="4"/>
      <c r="K6" s="4" t="s">
        <v>49</v>
      </c>
      <c r="L6" s="9" t="s">
        <v>48</v>
      </c>
      <c r="M6" s="4"/>
      <c r="N6" s="4" t="s">
        <v>79</v>
      </c>
    </row>
    <row r="7" customFormat="false" ht="15" hidden="false" customHeight="false" outlineLevel="0" collapsed="false">
      <c r="A7" s="4" t="s">
        <v>80</v>
      </c>
      <c r="B7" s="4" t="s">
        <v>81</v>
      </c>
      <c r="C7" s="4" t="s">
        <v>82</v>
      </c>
      <c r="D7" s="4" t="s">
        <v>83</v>
      </c>
      <c r="E7" s="4" t="s">
        <v>84</v>
      </c>
      <c r="F7" s="4" t="s">
        <v>61</v>
      </c>
      <c r="G7" s="4" t="s">
        <v>46</v>
      </c>
      <c r="H7" s="4" t="s">
        <v>85</v>
      </c>
      <c r="I7" s="4" t="s">
        <v>48</v>
      </c>
      <c r="J7" s="4"/>
      <c r="K7" s="4" t="s">
        <v>49</v>
      </c>
      <c r="L7" s="9" t="s">
        <v>48</v>
      </c>
      <c r="M7" s="4"/>
      <c r="N7" s="4" t="s">
        <v>86</v>
      </c>
    </row>
    <row r="8" customFormat="false" ht="15" hidden="false" customHeight="false" outlineLevel="0" collapsed="false">
      <c r="A8" s="4" t="s">
        <v>87</v>
      </c>
      <c r="B8" s="4" t="s">
        <v>81</v>
      </c>
      <c r="C8" s="4" t="s">
        <v>88</v>
      </c>
      <c r="D8" s="4" t="s">
        <v>83</v>
      </c>
      <c r="E8" s="4" t="s">
        <v>84</v>
      </c>
      <c r="F8" s="4" t="s">
        <v>61</v>
      </c>
      <c r="G8" s="4" t="s">
        <v>46</v>
      </c>
      <c r="H8" s="4" t="s">
        <v>85</v>
      </c>
      <c r="I8" s="4" t="s">
        <v>48</v>
      </c>
      <c r="J8" s="4"/>
      <c r="K8" s="4" t="s">
        <v>49</v>
      </c>
      <c r="L8" s="9" t="s">
        <v>48</v>
      </c>
      <c r="M8" s="4"/>
      <c r="N8" s="4" t="s">
        <v>89</v>
      </c>
    </row>
    <row r="9" customFormat="false" ht="15" hidden="false" customHeight="false" outlineLevel="0" collapsed="false">
      <c r="A9" s="4" t="s">
        <v>90</v>
      </c>
      <c r="B9" s="4" t="s">
        <v>91</v>
      </c>
      <c r="C9" s="4" t="s">
        <v>92</v>
      </c>
      <c r="D9" s="4" t="s">
        <v>93</v>
      </c>
      <c r="E9" s="4" t="s">
        <v>94</v>
      </c>
      <c r="F9" s="4" t="s">
        <v>45</v>
      </c>
      <c r="G9" s="4" t="s">
        <v>46</v>
      </c>
      <c r="H9" s="4" t="s">
        <v>47</v>
      </c>
      <c r="I9" s="4" t="s">
        <v>48</v>
      </c>
      <c r="J9" s="4"/>
      <c r="K9" s="4" t="s">
        <v>49</v>
      </c>
      <c r="L9" s="9" t="s">
        <v>48</v>
      </c>
      <c r="M9" s="4"/>
      <c r="N9" s="4" t="s">
        <v>95</v>
      </c>
    </row>
    <row r="10" customFormat="false" ht="15" hidden="false" customHeight="false" outlineLevel="0" collapsed="false">
      <c r="A10" s="4" t="s">
        <v>96</v>
      </c>
      <c r="B10" s="4" t="s">
        <v>91</v>
      </c>
      <c r="C10" s="4" t="s">
        <v>97</v>
      </c>
      <c r="D10" s="4" t="s">
        <v>98</v>
      </c>
      <c r="E10" s="4" t="s">
        <v>99</v>
      </c>
      <c r="F10" s="4" t="s">
        <v>45</v>
      </c>
      <c r="G10" s="4" t="s">
        <v>46</v>
      </c>
      <c r="H10" s="4" t="s">
        <v>47</v>
      </c>
      <c r="I10" s="4" t="s">
        <v>48</v>
      </c>
      <c r="J10" s="4"/>
      <c r="K10" s="4" t="s">
        <v>49</v>
      </c>
      <c r="L10" s="9" t="s">
        <v>48</v>
      </c>
      <c r="M10" s="4"/>
      <c r="N10" s="4" t="s">
        <v>100</v>
      </c>
    </row>
    <row r="11" customFormat="false" ht="15" hidden="false" customHeight="false" outlineLevel="0" collapsed="false">
      <c r="A11" s="4" t="s">
        <v>101</v>
      </c>
      <c r="B11" s="4" t="s">
        <v>91</v>
      </c>
      <c r="C11" s="4" t="s">
        <v>102</v>
      </c>
      <c r="D11" s="4" t="s">
        <v>103</v>
      </c>
      <c r="E11" s="4" t="s">
        <v>104</v>
      </c>
      <c r="F11" s="4" t="s">
        <v>45</v>
      </c>
      <c r="G11" s="4" t="s">
        <v>46</v>
      </c>
      <c r="H11" s="4" t="s">
        <v>47</v>
      </c>
      <c r="I11" s="4" t="s">
        <v>48</v>
      </c>
      <c r="J11" s="4"/>
      <c r="K11" s="4" t="s">
        <v>49</v>
      </c>
      <c r="L11" s="9" t="s">
        <v>48</v>
      </c>
      <c r="M11" s="4"/>
      <c r="N11" s="4" t="s">
        <v>105</v>
      </c>
    </row>
    <row r="12" customFormat="false" ht="15" hidden="false" customHeight="false" outlineLevel="0" collapsed="false">
      <c r="A12" s="4" t="s">
        <v>106</v>
      </c>
      <c r="B12" s="4" t="s">
        <v>91</v>
      </c>
      <c r="C12" s="4" t="s">
        <v>107</v>
      </c>
      <c r="D12" s="4" t="s">
        <v>108</v>
      </c>
      <c r="E12" s="4" t="s">
        <v>109</v>
      </c>
      <c r="F12" s="4" t="s">
        <v>45</v>
      </c>
      <c r="G12" s="4" t="s">
        <v>46</v>
      </c>
      <c r="H12" s="4" t="s">
        <v>47</v>
      </c>
      <c r="I12" s="4" t="s">
        <v>48</v>
      </c>
      <c r="J12" s="4"/>
      <c r="K12" s="4" t="s">
        <v>49</v>
      </c>
      <c r="L12" s="9" t="s">
        <v>48</v>
      </c>
      <c r="M12" s="4"/>
      <c r="N12" s="4" t="s">
        <v>110</v>
      </c>
    </row>
    <row r="13" customFormat="false" ht="15" hidden="false" customHeight="false" outlineLevel="0" collapsed="false">
      <c r="A13" s="4" t="s">
        <v>111</v>
      </c>
      <c r="B13" s="4" t="s">
        <v>112</v>
      </c>
      <c r="C13" s="4" t="s">
        <v>113</v>
      </c>
      <c r="D13" s="4" t="s">
        <v>114</v>
      </c>
      <c r="E13" s="4" t="s">
        <v>115</v>
      </c>
      <c r="F13" s="4" t="s">
        <v>45</v>
      </c>
      <c r="G13" s="4" t="s">
        <v>62</v>
      </c>
      <c r="H13" s="4" t="s">
        <v>85</v>
      </c>
      <c r="I13" s="4" t="s">
        <v>116</v>
      </c>
      <c r="J13" s="4" t="s">
        <v>116</v>
      </c>
      <c r="K13" s="4" t="s">
        <v>64</v>
      </c>
      <c r="L13" s="10" t="s">
        <v>116</v>
      </c>
      <c r="M13" s="4" t="s">
        <v>116</v>
      </c>
      <c r="N13" s="4" t="s">
        <v>117</v>
      </c>
    </row>
    <row r="14" customFormat="false" ht="15" hidden="false" customHeight="false" outlineLevel="0" collapsed="false">
      <c r="A14" s="4" t="s">
        <v>118</v>
      </c>
      <c r="B14" s="4" t="s">
        <v>112</v>
      </c>
      <c r="C14" s="4" t="s">
        <v>119</v>
      </c>
      <c r="D14" s="4" t="s">
        <v>114</v>
      </c>
      <c r="E14" s="4" t="s">
        <v>115</v>
      </c>
      <c r="F14" s="4" t="s">
        <v>45</v>
      </c>
      <c r="G14" s="4" t="s">
        <v>62</v>
      </c>
      <c r="H14" s="4" t="s">
        <v>85</v>
      </c>
      <c r="I14" s="4" t="s">
        <v>116</v>
      </c>
      <c r="J14" s="4" t="s">
        <v>116</v>
      </c>
      <c r="K14" s="4" t="s">
        <v>64</v>
      </c>
      <c r="L14" s="10" t="s">
        <v>116</v>
      </c>
      <c r="M14" s="4" t="s">
        <v>116</v>
      </c>
      <c r="N14" s="4" t="s">
        <v>120</v>
      </c>
    </row>
    <row r="15" customFormat="false" ht="15" hidden="false" customHeight="false" outlineLevel="0" collapsed="false">
      <c r="A15" s="4" t="s">
        <v>121</v>
      </c>
      <c r="B15" s="4" t="s">
        <v>122</v>
      </c>
      <c r="C15" s="4" t="s">
        <v>123</v>
      </c>
      <c r="D15" s="4" t="s">
        <v>124</v>
      </c>
      <c r="E15" s="4" t="s">
        <v>125</v>
      </c>
      <c r="F15" s="4" t="s">
        <v>61</v>
      </c>
      <c r="G15" s="4" t="s">
        <v>46</v>
      </c>
      <c r="H15" s="4" t="s">
        <v>47</v>
      </c>
      <c r="I15" s="4" t="s">
        <v>126</v>
      </c>
      <c r="J15" s="4" t="s">
        <v>126</v>
      </c>
      <c r="K15" s="4" t="s">
        <v>64</v>
      </c>
      <c r="L15" s="9" t="s">
        <v>48</v>
      </c>
      <c r="M15" s="4"/>
      <c r="N15" s="4" t="s">
        <v>127</v>
      </c>
    </row>
    <row r="16" customFormat="false" ht="15" hidden="false" customHeight="false" outlineLevel="0" collapsed="false">
      <c r="A16" s="4" t="s">
        <v>128</v>
      </c>
      <c r="B16" s="4" t="s">
        <v>129</v>
      </c>
      <c r="C16" s="4" t="s">
        <v>130</v>
      </c>
      <c r="D16" s="4" t="s">
        <v>131</v>
      </c>
      <c r="E16" s="4" t="s">
        <v>132</v>
      </c>
      <c r="F16" s="4" t="s">
        <v>45</v>
      </c>
      <c r="G16" s="4" t="s">
        <v>78</v>
      </c>
      <c r="H16" s="4" t="s">
        <v>47</v>
      </c>
      <c r="I16" s="4" t="s">
        <v>126</v>
      </c>
      <c r="J16" s="4" t="s">
        <v>126</v>
      </c>
      <c r="K16" s="4" t="s">
        <v>64</v>
      </c>
      <c r="L16" s="9" t="s">
        <v>48</v>
      </c>
      <c r="M16" s="4"/>
      <c r="N16" s="4" t="s">
        <v>133</v>
      </c>
    </row>
    <row r="17" customFormat="false" ht="15" hidden="false" customHeight="false" outlineLevel="0" collapsed="false">
      <c r="A17" s="4" t="s">
        <v>134</v>
      </c>
      <c r="B17" s="4" t="s">
        <v>135</v>
      </c>
      <c r="C17" s="4" t="s">
        <v>136</v>
      </c>
      <c r="D17" s="4" t="s">
        <v>137</v>
      </c>
      <c r="E17" s="4" t="s">
        <v>138</v>
      </c>
      <c r="F17" s="4" t="s">
        <v>61</v>
      </c>
      <c r="G17" s="4" t="s">
        <v>46</v>
      </c>
      <c r="H17" s="4" t="s">
        <v>139</v>
      </c>
      <c r="I17" s="4" t="s">
        <v>116</v>
      </c>
      <c r="J17" s="4" t="s">
        <v>116</v>
      </c>
      <c r="K17" s="4" t="s">
        <v>64</v>
      </c>
      <c r="L17" s="9" t="s">
        <v>48</v>
      </c>
      <c r="M17" s="4"/>
      <c r="N17" s="4" t="s">
        <v>140</v>
      </c>
    </row>
    <row r="18" customFormat="false" ht="15" hidden="false" customHeight="false" outlineLevel="0" collapsed="false">
      <c r="A18" s="4" t="s">
        <v>141</v>
      </c>
      <c r="B18" s="4" t="s">
        <v>135</v>
      </c>
      <c r="C18" s="4" t="s">
        <v>142</v>
      </c>
      <c r="D18" s="4" t="s">
        <v>143</v>
      </c>
      <c r="E18" s="4" t="s">
        <v>144</v>
      </c>
      <c r="F18" s="4" t="s">
        <v>61</v>
      </c>
      <c r="G18" s="4" t="s">
        <v>78</v>
      </c>
      <c r="H18" s="4" t="s">
        <v>139</v>
      </c>
      <c r="I18" s="4" t="s">
        <v>116</v>
      </c>
      <c r="J18" s="4" t="s">
        <v>116</v>
      </c>
      <c r="K18" s="4" t="s">
        <v>64</v>
      </c>
      <c r="L18" s="9" t="s">
        <v>48</v>
      </c>
      <c r="M18" s="4"/>
      <c r="N18" s="4" t="s">
        <v>145</v>
      </c>
    </row>
    <row r="19" customFormat="false" ht="15" hidden="false" customHeight="false" outlineLevel="0" collapsed="false">
      <c r="A19" s="4" t="s">
        <v>146</v>
      </c>
      <c r="B19" s="4" t="s">
        <v>147</v>
      </c>
      <c r="C19" s="4" t="s">
        <v>148</v>
      </c>
      <c r="D19" s="4" t="s">
        <v>149</v>
      </c>
      <c r="E19" s="4" t="s">
        <v>150</v>
      </c>
      <c r="F19" s="4" t="s">
        <v>61</v>
      </c>
      <c r="G19" s="4" t="s">
        <v>62</v>
      </c>
      <c r="H19" s="4" t="s">
        <v>139</v>
      </c>
      <c r="I19" s="4" t="s">
        <v>116</v>
      </c>
      <c r="J19" s="4" t="s">
        <v>116</v>
      </c>
      <c r="K19" s="4" t="s">
        <v>64</v>
      </c>
      <c r="L19" s="10" t="s">
        <v>116</v>
      </c>
      <c r="M19" s="4" t="s">
        <v>116</v>
      </c>
      <c r="N19" s="4" t="s">
        <v>151</v>
      </c>
    </row>
    <row r="20" customFormat="false" ht="15" hidden="false" customHeight="false" outlineLevel="0" collapsed="false">
      <c r="A20" s="4" t="s">
        <v>152</v>
      </c>
      <c r="B20" s="4" t="s">
        <v>153</v>
      </c>
      <c r="C20" s="4" t="s">
        <v>154</v>
      </c>
      <c r="D20" s="4" t="s">
        <v>155</v>
      </c>
      <c r="E20" s="4" t="s">
        <v>156</v>
      </c>
      <c r="F20" s="4" t="s">
        <v>45</v>
      </c>
      <c r="G20" s="4" t="s">
        <v>62</v>
      </c>
      <c r="H20" s="4" t="s">
        <v>47</v>
      </c>
      <c r="I20" s="4" t="s">
        <v>71</v>
      </c>
      <c r="J20" s="4" t="s">
        <v>157</v>
      </c>
      <c r="K20" s="4" t="s">
        <v>64</v>
      </c>
      <c r="L20" s="10" t="s">
        <v>71</v>
      </c>
      <c r="M20" s="4" t="s">
        <v>157</v>
      </c>
      <c r="N20" s="4" t="s">
        <v>158</v>
      </c>
    </row>
    <row r="21" customFormat="false" ht="15" hidden="false" customHeight="false" outlineLevel="0" collapsed="false">
      <c r="A21" s="4" t="s">
        <v>159</v>
      </c>
      <c r="B21" s="4" t="s">
        <v>160</v>
      </c>
      <c r="C21" s="4" t="s">
        <v>161</v>
      </c>
      <c r="D21" s="4" t="s">
        <v>162</v>
      </c>
      <c r="E21" s="4" t="s">
        <v>163</v>
      </c>
      <c r="F21" s="4" t="s">
        <v>45</v>
      </c>
      <c r="G21" s="4" t="s">
        <v>78</v>
      </c>
      <c r="H21" s="4" t="s">
        <v>47</v>
      </c>
      <c r="I21" s="4" t="s">
        <v>126</v>
      </c>
      <c r="J21" s="4" t="s">
        <v>126</v>
      </c>
      <c r="K21" s="4" t="s">
        <v>64</v>
      </c>
      <c r="L21" s="9" t="s">
        <v>48</v>
      </c>
      <c r="M21" s="4"/>
      <c r="N21" s="4" t="s">
        <v>164</v>
      </c>
    </row>
    <row r="22" customFormat="false" ht="15" hidden="false" customHeight="false" outlineLevel="0" collapsed="false">
      <c r="A22" s="4" t="s">
        <v>165</v>
      </c>
      <c r="B22" s="4" t="s">
        <v>160</v>
      </c>
      <c r="C22" s="4" t="s">
        <v>161</v>
      </c>
      <c r="D22" s="4" t="s">
        <v>166</v>
      </c>
      <c r="E22" s="4" t="s">
        <v>167</v>
      </c>
      <c r="F22" s="4" t="s">
        <v>45</v>
      </c>
      <c r="G22" s="4" t="s">
        <v>78</v>
      </c>
      <c r="H22" s="4" t="s">
        <v>47</v>
      </c>
      <c r="I22" s="4" t="s">
        <v>126</v>
      </c>
      <c r="J22" s="4" t="s">
        <v>126</v>
      </c>
      <c r="K22" s="4" t="s">
        <v>64</v>
      </c>
      <c r="L22" s="9" t="s">
        <v>48</v>
      </c>
      <c r="M22" s="4"/>
      <c r="N22" s="4" t="s">
        <v>164</v>
      </c>
    </row>
    <row r="23" customFormat="false" ht="15" hidden="false" customHeight="false" outlineLevel="0" collapsed="false">
      <c r="A23" s="4" t="s">
        <v>168</v>
      </c>
      <c r="B23" s="4" t="s">
        <v>160</v>
      </c>
      <c r="C23" s="4" t="s">
        <v>161</v>
      </c>
      <c r="D23" s="4" t="s">
        <v>169</v>
      </c>
      <c r="E23" s="4" t="s">
        <v>170</v>
      </c>
      <c r="F23" s="4" t="s">
        <v>45</v>
      </c>
      <c r="G23" s="4" t="s">
        <v>62</v>
      </c>
      <c r="H23" s="4" t="s">
        <v>47</v>
      </c>
      <c r="I23" s="4" t="s">
        <v>171</v>
      </c>
      <c r="J23" s="4" t="s">
        <v>172</v>
      </c>
      <c r="K23" s="4" t="s">
        <v>49</v>
      </c>
      <c r="L23" s="10" t="s">
        <v>171</v>
      </c>
      <c r="M23" s="4" t="s">
        <v>172</v>
      </c>
      <c r="N23" s="4" t="s">
        <v>164</v>
      </c>
    </row>
    <row r="24" customFormat="false" ht="15" hidden="false" customHeight="false" outlineLevel="0" collapsed="false">
      <c r="A24" s="4" t="s">
        <v>173</v>
      </c>
      <c r="B24" s="4" t="s">
        <v>174</v>
      </c>
      <c r="C24" s="4" t="s">
        <v>175</v>
      </c>
      <c r="D24" s="4" t="s">
        <v>176</v>
      </c>
      <c r="E24" s="4" t="s">
        <v>177</v>
      </c>
      <c r="F24" s="4" t="s">
        <v>45</v>
      </c>
      <c r="G24" s="4" t="s">
        <v>46</v>
      </c>
      <c r="H24" s="4" t="s">
        <v>139</v>
      </c>
      <c r="I24" s="4" t="s">
        <v>48</v>
      </c>
      <c r="J24" s="4"/>
      <c r="K24" s="4" t="s">
        <v>49</v>
      </c>
      <c r="L24" s="9" t="s">
        <v>48</v>
      </c>
      <c r="M24" s="4"/>
      <c r="N24" s="4" t="s">
        <v>178</v>
      </c>
    </row>
    <row r="25" customFormat="false" ht="15" hidden="false" customHeight="false" outlineLevel="0" collapsed="false">
      <c r="A25" s="4" t="s">
        <v>179</v>
      </c>
      <c r="B25" s="4" t="s">
        <v>180</v>
      </c>
      <c r="C25" s="4" t="s">
        <v>181</v>
      </c>
      <c r="D25" s="4" t="s">
        <v>182</v>
      </c>
      <c r="E25" s="4" t="s">
        <v>183</v>
      </c>
      <c r="F25" s="4" t="s">
        <v>45</v>
      </c>
      <c r="G25" s="4" t="s">
        <v>78</v>
      </c>
      <c r="H25" s="4" t="s">
        <v>47</v>
      </c>
      <c r="I25" s="4" t="s">
        <v>48</v>
      </c>
      <c r="J25" s="4"/>
      <c r="K25" s="4" t="s">
        <v>49</v>
      </c>
      <c r="L25" s="9" t="s">
        <v>48</v>
      </c>
      <c r="M25" s="4"/>
      <c r="N25" s="4" t="s">
        <v>184</v>
      </c>
    </row>
    <row r="26" customFormat="false" ht="15" hidden="false" customHeight="false" outlineLevel="0" collapsed="false">
      <c r="A26" s="4" t="s">
        <v>185</v>
      </c>
      <c r="B26" s="4" t="s">
        <v>186</v>
      </c>
      <c r="C26" s="4" t="s">
        <v>187</v>
      </c>
      <c r="D26" s="4" t="s">
        <v>188</v>
      </c>
      <c r="E26" s="4" t="s">
        <v>189</v>
      </c>
      <c r="F26" s="4" t="s">
        <v>45</v>
      </c>
      <c r="G26" s="4" t="s">
        <v>78</v>
      </c>
      <c r="H26" s="4" t="s">
        <v>85</v>
      </c>
      <c r="I26" s="4" t="s">
        <v>126</v>
      </c>
      <c r="J26" s="4" t="s">
        <v>126</v>
      </c>
      <c r="K26" s="4" t="s">
        <v>64</v>
      </c>
      <c r="L26" s="9" t="s">
        <v>48</v>
      </c>
      <c r="M26" s="4"/>
      <c r="N26" s="4" t="s">
        <v>190</v>
      </c>
    </row>
    <row r="27" customFormat="false" ht="15" hidden="false" customHeight="false" outlineLevel="0" collapsed="false">
      <c r="A27" s="4" t="s">
        <v>191</v>
      </c>
      <c r="B27" s="4" t="s">
        <v>192</v>
      </c>
      <c r="C27" s="4" t="s">
        <v>193</v>
      </c>
      <c r="D27" s="4" t="s">
        <v>194</v>
      </c>
      <c r="E27" s="4" t="s">
        <v>195</v>
      </c>
      <c r="F27" s="4" t="s">
        <v>45</v>
      </c>
      <c r="G27" s="4" t="s">
        <v>78</v>
      </c>
      <c r="H27" s="4" t="s">
        <v>85</v>
      </c>
      <c r="I27" s="4" t="s">
        <v>126</v>
      </c>
      <c r="J27" s="4" t="s">
        <v>126</v>
      </c>
      <c r="K27" s="4" t="s">
        <v>64</v>
      </c>
      <c r="L27" s="9" t="s">
        <v>48</v>
      </c>
      <c r="M27" s="4"/>
      <c r="N27" s="4" t="s">
        <v>196</v>
      </c>
    </row>
    <row r="28" customFormat="false" ht="15" hidden="false" customHeight="false" outlineLevel="0" collapsed="false">
      <c r="A28" s="4" t="s">
        <v>197</v>
      </c>
      <c r="B28" s="4" t="s">
        <v>198</v>
      </c>
      <c r="C28" s="4" t="s">
        <v>199</v>
      </c>
      <c r="D28" s="4" t="s">
        <v>200</v>
      </c>
      <c r="E28" s="4" t="s">
        <v>201</v>
      </c>
      <c r="F28" s="4" t="s">
        <v>45</v>
      </c>
      <c r="G28" s="4" t="s">
        <v>62</v>
      </c>
      <c r="H28" s="4" t="s">
        <v>85</v>
      </c>
      <c r="I28" s="4" t="s">
        <v>171</v>
      </c>
      <c r="J28" s="4" t="s">
        <v>202</v>
      </c>
      <c r="K28" s="4" t="s">
        <v>49</v>
      </c>
      <c r="L28" s="10" t="s">
        <v>171</v>
      </c>
      <c r="M28" s="4" t="s">
        <v>202</v>
      </c>
      <c r="N28" s="4" t="s">
        <v>203</v>
      </c>
    </row>
    <row r="29" customFormat="false" ht="15" hidden="false" customHeight="false" outlineLevel="0" collapsed="false">
      <c r="A29" s="4" t="s">
        <v>204</v>
      </c>
      <c r="B29" s="4" t="s">
        <v>205</v>
      </c>
      <c r="C29" s="4" t="s">
        <v>206</v>
      </c>
      <c r="D29" s="4" t="s">
        <v>207</v>
      </c>
      <c r="E29" s="4" t="s">
        <v>208</v>
      </c>
      <c r="F29" s="4" t="s">
        <v>61</v>
      </c>
      <c r="G29" s="4" t="s">
        <v>78</v>
      </c>
      <c r="H29" s="4" t="s">
        <v>85</v>
      </c>
      <c r="I29" s="4" t="s">
        <v>48</v>
      </c>
      <c r="J29" s="4"/>
      <c r="K29" s="4" t="s">
        <v>49</v>
      </c>
      <c r="L29" s="9" t="s">
        <v>48</v>
      </c>
      <c r="M29" s="4"/>
      <c r="N29" s="4" t="s">
        <v>209</v>
      </c>
    </row>
    <row r="30" customFormat="false" ht="15" hidden="false" customHeight="false" outlineLevel="0" collapsed="false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45</v>
      </c>
      <c r="G30" s="4" t="s">
        <v>46</v>
      </c>
      <c r="H30" s="4" t="s">
        <v>47</v>
      </c>
      <c r="I30" s="4" t="s">
        <v>48</v>
      </c>
      <c r="J30" s="4"/>
      <c r="K30" s="4" t="s">
        <v>49</v>
      </c>
      <c r="L30" s="9" t="s">
        <v>48</v>
      </c>
      <c r="M30" s="4"/>
      <c r="N30" s="4" t="s">
        <v>215</v>
      </c>
    </row>
    <row r="31" customFormat="false" ht="15" hidden="false" customHeight="false" outlineLevel="0" collapsed="false">
      <c r="A31" s="4" t="s">
        <v>216</v>
      </c>
      <c r="B31" s="4" t="s">
        <v>217</v>
      </c>
      <c r="C31" s="4" t="s">
        <v>218</v>
      </c>
      <c r="D31" s="4" t="s">
        <v>219</v>
      </c>
      <c r="E31" s="4" t="s">
        <v>220</v>
      </c>
      <c r="F31" s="4" t="s">
        <v>61</v>
      </c>
      <c r="G31" s="4" t="s">
        <v>46</v>
      </c>
      <c r="H31" s="4" t="s">
        <v>47</v>
      </c>
      <c r="I31" s="4" t="s">
        <v>48</v>
      </c>
      <c r="J31" s="4"/>
      <c r="K31" s="4" t="s">
        <v>49</v>
      </c>
      <c r="L31" s="9" t="s">
        <v>48</v>
      </c>
      <c r="M31" s="4"/>
      <c r="N31" s="4" t="s">
        <v>221</v>
      </c>
    </row>
    <row r="32" customFormat="false" ht="15" hidden="false" customHeight="false" outlineLevel="0" collapsed="false">
      <c r="A32" s="4" t="s">
        <v>222</v>
      </c>
      <c r="B32" s="4" t="s">
        <v>223</v>
      </c>
      <c r="C32" s="4" t="s">
        <v>224</v>
      </c>
      <c r="D32" s="4" t="s">
        <v>225</v>
      </c>
      <c r="E32" s="4" t="s">
        <v>226</v>
      </c>
      <c r="F32" s="4" t="s">
        <v>45</v>
      </c>
      <c r="G32" s="4" t="s">
        <v>46</v>
      </c>
      <c r="H32" s="4" t="s">
        <v>47</v>
      </c>
      <c r="I32" s="4" t="s">
        <v>126</v>
      </c>
      <c r="J32" s="4" t="s">
        <v>126</v>
      </c>
      <c r="K32" s="4" t="s">
        <v>64</v>
      </c>
      <c r="L32" s="9" t="s">
        <v>48</v>
      </c>
      <c r="M32" s="4"/>
      <c r="N32" s="4" t="s">
        <v>227</v>
      </c>
    </row>
    <row r="33" customFormat="false" ht="15" hidden="false" customHeight="false" outlineLevel="0" collapsed="false">
      <c r="A33" s="4" t="s">
        <v>228</v>
      </c>
      <c r="B33" s="4" t="s">
        <v>223</v>
      </c>
      <c r="C33" s="4" t="s">
        <v>229</v>
      </c>
      <c r="D33" s="4" t="s">
        <v>230</v>
      </c>
      <c r="E33" s="4" t="s">
        <v>231</v>
      </c>
      <c r="F33" s="4" t="s">
        <v>45</v>
      </c>
      <c r="G33" s="4" t="s">
        <v>46</v>
      </c>
      <c r="H33" s="4" t="s">
        <v>47</v>
      </c>
      <c r="I33" s="4" t="s">
        <v>48</v>
      </c>
      <c r="J33" s="4"/>
      <c r="K33" s="4" t="s">
        <v>49</v>
      </c>
      <c r="L33" s="9" t="s">
        <v>48</v>
      </c>
      <c r="M33" s="4"/>
      <c r="N33" s="4" t="s">
        <v>232</v>
      </c>
    </row>
    <row r="34" customFormat="false" ht="15" hidden="false" customHeight="false" outlineLevel="0" collapsed="false">
      <c r="A34" s="4" t="s">
        <v>233</v>
      </c>
      <c r="B34" s="4" t="s">
        <v>223</v>
      </c>
      <c r="C34" s="4" t="s">
        <v>234</v>
      </c>
      <c r="D34" s="4" t="s">
        <v>235</v>
      </c>
      <c r="E34" s="4" t="s">
        <v>236</v>
      </c>
      <c r="F34" s="4" t="s">
        <v>45</v>
      </c>
      <c r="G34" s="4" t="s">
        <v>46</v>
      </c>
      <c r="H34" s="4" t="s">
        <v>47</v>
      </c>
      <c r="I34" s="4" t="s">
        <v>48</v>
      </c>
      <c r="J34" s="4"/>
      <c r="K34" s="4" t="s">
        <v>49</v>
      </c>
      <c r="L34" s="9" t="s">
        <v>48</v>
      </c>
      <c r="M34" s="4"/>
      <c r="N34" s="4" t="s">
        <v>237</v>
      </c>
    </row>
    <row r="35" customFormat="false" ht="15" hidden="false" customHeight="false" outlineLevel="0" collapsed="false">
      <c r="A35" s="4" t="s">
        <v>238</v>
      </c>
      <c r="B35" s="4" t="s">
        <v>223</v>
      </c>
      <c r="C35" s="4" t="s">
        <v>239</v>
      </c>
      <c r="D35" s="4" t="s">
        <v>240</v>
      </c>
      <c r="E35" s="4" t="s">
        <v>241</v>
      </c>
      <c r="F35" s="4" t="s">
        <v>45</v>
      </c>
      <c r="G35" s="4" t="s">
        <v>46</v>
      </c>
      <c r="H35" s="4" t="s">
        <v>47</v>
      </c>
      <c r="I35" s="4" t="s">
        <v>48</v>
      </c>
      <c r="J35" s="4"/>
      <c r="K35" s="4" t="s">
        <v>49</v>
      </c>
      <c r="L35" s="9" t="s">
        <v>48</v>
      </c>
      <c r="M35" s="4"/>
      <c r="N35" s="4" t="s">
        <v>242</v>
      </c>
    </row>
    <row r="36" customFormat="false" ht="15" hidden="false" customHeight="false" outlineLevel="0" collapsed="false">
      <c r="A36" s="4" t="s">
        <v>243</v>
      </c>
      <c r="B36" s="4" t="s">
        <v>223</v>
      </c>
      <c r="C36" s="4" t="s">
        <v>239</v>
      </c>
      <c r="D36" s="4" t="s">
        <v>244</v>
      </c>
      <c r="E36" s="4" t="s">
        <v>245</v>
      </c>
      <c r="F36" s="4" t="s">
        <v>45</v>
      </c>
      <c r="G36" s="4" t="s">
        <v>62</v>
      </c>
      <c r="H36" s="4" t="s">
        <v>47</v>
      </c>
      <c r="I36" s="4" t="s">
        <v>171</v>
      </c>
      <c r="J36" s="4" t="s">
        <v>172</v>
      </c>
      <c r="K36" s="4" t="s">
        <v>49</v>
      </c>
      <c r="L36" s="10" t="s">
        <v>171</v>
      </c>
      <c r="M36" s="4" t="s">
        <v>172</v>
      </c>
      <c r="N36" s="4" t="s">
        <v>242</v>
      </c>
    </row>
    <row r="37" customFormat="false" ht="15" hidden="false" customHeight="false" outlineLevel="0" collapsed="false">
      <c r="A37" s="4" t="s">
        <v>246</v>
      </c>
      <c r="B37" s="4" t="s">
        <v>223</v>
      </c>
      <c r="C37" s="4" t="s">
        <v>247</v>
      </c>
      <c r="D37" s="4" t="s">
        <v>248</v>
      </c>
      <c r="E37" s="4" t="s">
        <v>249</v>
      </c>
      <c r="F37" s="4" t="s">
        <v>45</v>
      </c>
      <c r="G37" s="4" t="s">
        <v>46</v>
      </c>
      <c r="H37" s="4" t="s">
        <v>47</v>
      </c>
      <c r="I37" s="4" t="s">
        <v>48</v>
      </c>
      <c r="J37" s="4"/>
      <c r="K37" s="4" t="s">
        <v>49</v>
      </c>
      <c r="L37" s="9" t="s">
        <v>48</v>
      </c>
      <c r="M37" s="4"/>
      <c r="N37" s="4" t="s">
        <v>250</v>
      </c>
    </row>
    <row r="38" customFormat="false" ht="15" hidden="false" customHeight="false" outlineLevel="0" collapsed="false">
      <c r="A38" s="4" t="s">
        <v>251</v>
      </c>
      <c r="B38" s="4" t="s">
        <v>223</v>
      </c>
      <c r="C38" s="4" t="s">
        <v>252</v>
      </c>
      <c r="D38" s="4" t="s">
        <v>230</v>
      </c>
      <c r="E38" s="4" t="s">
        <v>231</v>
      </c>
      <c r="F38" s="4" t="s">
        <v>45</v>
      </c>
      <c r="G38" s="4" t="s">
        <v>46</v>
      </c>
      <c r="H38" s="4" t="s">
        <v>47</v>
      </c>
      <c r="I38" s="4" t="s">
        <v>48</v>
      </c>
      <c r="J38" s="4"/>
      <c r="K38" s="4" t="s">
        <v>49</v>
      </c>
      <c r="L38" s="9" t="s">
        <v>48</v>
      </c>
      <c r="M38" s="4"/>
      <c r="N38" s="4" t="s">
        <v>253</v>
      </c>
    </row>
    <row r="39" customFormat="false" ht="15" hidden="false" customHeight="false" outlineLevel="0" collapsed="false">
      <c r="A39" s="4" t="s">
        <v>254</v>
      </c>
      <c r="B39" s="4" t="s">
        <v>223</v>
      </c>
      <c r="C39" s="4" t="s">
        <v>255</v>
      </c>
      <c r="D39" s="4" t="s">
        <v>240</v>
      </c>
      <c r="E39" s="4" t="s">
        <v>241</v>
      </c>
      <c r="F39" s="4" t="s">
        <v>45</v>
      </c>
      <c r="G39" s="4" t="s">
        <v>46</v>
      </c>
      <c r="H39" s="4" t="s">
        <v>47</v>
      </c>
      <c r="I39" s="4" t="s">
        <v>48</v>
      </c>
      <c r="J39" s="4"/>
      <c r="K39" s="4" t="s">
        <v>49</v>
      </c>
      <c r="L39" s="9" t="s">
        <v>48</v>
      </c>
      <c r="M39" s="4"/>
      <c r="N39" s="4" t="s">
        <v>256</v>
      </c>
    </row>
    <row r="40" customFormat="false" ht="15" hidden="false" customHeight="false" outlineLevel="0" collapsed="false">
      <c r="A40" s="4" t="s">
        <v>257</v>
      </c>
      <c r="B40" s="4" t="s">
        <v>223</v>
      </c>
      <c r="C40" s="4" t="s">
        <v>258</v>
      </c>
      <c r="D40" s="4" t="s">
        <v>259</v>
      </c>
      <c r="E40" s="4" t="s">
        <v>260</v>
      </c>
      <c r="F40" s="4" t="s">
        <v>45</v>
      </c>
      <c r="G40" s="4" t="s">
        <v>46</v>
      </c>
      <c r="H40" s="4" t="s">
        <v>47</v>
      </c>
      <c r="I40" s="4" t="s">
        <v>126</v>
      </c>
      <c r="J40" s="4" t="s">
        <v>126</v>
      </c>
      <c r="K40" s="4" t="s">
        <v>64</v>
      </c>
      <c r="L40" s="9" t="s">
        <v>48</v>
      </c>
      <c r="M40" s="4"/>
      <c r="N40" s="4" t="s">
        <v>261</v>
      </c>
    </row>
    <row r="41" customFormat="false" ht="15" hidden="false" customHeight="false" outlineLevel="0" collapsed="false">
      <c r="A41" s="4" t="s">
        <v>262</v>
      </c>
      <c r="B41" s="4" t="s">
        <v>223</v>
      </c>
      <c r="C41" s="4" t="s">
        <v>263</v>
      </c>
      <c r="D41" s="4" t="s">
        <v>264</v>
      </c>
      <c r="E41" s="4" t="s">
        <v>265</v>
      </c>
      <c r="F41" s="4" t="s">
        <v>45</v>
      </c>
      <c r="G41" s="4" t="s">
        <v>46</v>
      </c>
      <c r="H41" s="4" t="s">
        <v>47</v>
      </c>
      <c r="I41" s="4" t="s">
        <v>48</v>
      </c>
      <c r="J41" s="4"/>
      <c r="K41" s="4" t="s">
        <v>49</v>
      </c>
      <c r="L41" s="9" t="s">
        <v>48</v>
      </c>
      <c r="M41" s="4"/>
      <c r="N41" s="4" t="s">
        <v>266</v>
      </c>
    </row>
    <row r="42" customFormat="false" ht="15" hidden="false" customHeight="false" outlineLevel="0" collapsed="false">
      <c r="A42" s="4" t="s">
        <v>267</v>
      </c>
      <c r="B42" s="4" t="s">
        <v>223</v>
      </c>
      <c r="C42" s="4" t="s">
        <v>268</v>
      </c>
      <c r="D42" s="4" t="s">
        <v>269</v>
      </c>
      <c r="E42" s="4" t="s">
        <v>270</v>
      </c>
      <c r="F42" s="4" t="s">
        <v>45</v>
      </c>
      <c r="G42" s="4" t="s">
        <v>46</v>
      </c>
      <c r="H42" s="4" t="s">
        <v>47</v>
      </c>
      <c r="I42" s="4" t="s">
        <v>48</v>
      </c>
      <c r="J42" s="4"/>
      <c r="K42" s="4" t="s">
        <v>49</v>
      </c>
      <c r="L42" s="9" t="s">
        <v>48</v>
      </c>
      <c r="M42" s="4"/>
      <c r="N42" s="4" t="s">
        <v>271</v>
      </c>
    </row>
    <row r="43" customFormat="false" ht="15" hidden="false" customHeight="false" outlineLevel="0" collapsed="false">
      <c r="A43" s="4" t="s">
        <v>272</v>
      </c>
      <c r="B43" s="4" t="s">
        <v>223</v>
      </c>
      <c r="C43" s="4" t="s">
        <v>273</v>
      </c>
      <c r="D43" s="4" t="s">
        <v>230</v>
      </c>
      <c r="E43" s="4" t="s">
        <v>231</v>
      </c>
      <c r="F43" s="4" t="s">
        <v>45</v>
      </c>
      <c r="G43" s="4" t="s">
        <v>46</v>
      </c>
      <c r="H43" s="4" t="s">
        <v>47</v>
      </c>
      <c r="I43" s="4" t="s">
        <v>48</v>
      </c>
      <c r="J43" s="4"/>
      <c r="K43" s="4" t="s">
        <v>49</v>
      </c>
      <c r="L43" s="9" t="s">
        <v>48</v>
      </c>
      <c r="M43" s="4"/>
      <c r="N43" s="4" t="s">
        <v>274</v>
      </c>
    </row>
    <row r="44" customFormat="false" ht="15" hidden="false" customHeight="false" outlineLevel="0" collapsed="false">
      <c r="A44" s="4" t="s">
        <v>275</v>
      </c>
      <c r="B44" s="4" t="s">
        <v>223</v>
      </c>
      <c r="C44" s="4" t="s">
        <v>276</v>
      </c>
      <c r="D44" s="4" t="s">
        <v>277</v>
      </c>
      <c r="E44" s="4" t="s">
        <v>278</v>
      </c>
      <c r="F44" s="4" t="s">
        <v>45</v>
      </c>
      <c r="G44" s="4" t="s">
        <v>46</v>
      </c>
      <c r="H44" s="4" t="s">
        <v>47</v>
      </c>
      <c r="I44" s="4" t="s">
        <v>48</v>
      </c>
      <c r="J44" s="4"/>
      <c r="K44" s="4" t="s">
        <v>49</v>
      </c>
      <c r="L44" s="9" t="s">
        <v>48</v>
      </c>
      <c r="M44" s="4"/>
      <c r="N44" s="4" t="s">
        <v>279</v>
      </c>
    </row>
    <row r="45" customFormat="false" ht="15" hidden="false" customHeight="false" outlineLevel="0" collapsed="false">
      <c r="A45" s="4" t="s">
        <v>280</v>
      </c>
      <c r="B45" s="4" t="s">
        <v>223</v>
      </c>
      <c r="C45" s="4" t="s">
        <v>281</v>
      </c>
      <c r="D45" s="4" t="s">
        <v>282</v>
      </c>
      <c r="E45" s="4" t="s">
        <v>283</v>
      </c>
      <c r="F45" s="4" t="s">
        <v>45</v>
      </c>
      <c r="G45" s="4" t="s">
        <v>46</v>
      </c>
      <c r="H45" s="4" t="s">
        <v>47</v>
      </c>
      <c r="I45" s="4" t="s">
        <v>48</v>
      </c>
      <c r="J45" s="4"/>
      <c r="K45" s="4" t="s">
        <v>49</v>
      </c>
      <c r="L45" s="9" t="s">
        <v>48</v>
      </c>
      <c r="M45" s="4"/>
      <c r="N45" s="4" t="s">
        <v>284</v>
      </c>
    </row>
    <row r="46" customFormat="false" ht="15" hidden="false" customHeight="false" outlineLevel="0" collapsed="false">
      <c r="A46" s="4" t="s">
        <v>285</v>
      </c>
      <c r="B46" s="4" t="s">
        <v>223</v>
      </c>
      <c r="C46" s="4" t="s">
        <v>286</v>
      </c>
      <c r="D46" s="4" t="s">
        <v>287</v>
      </c>
      <c r="E46" s="4" t="s">
        <v>288</v>
      </c>
      <c r="F46" s="4" t="s">
        <v>45</v>
      </c>
      <c r="G46" s="4" t="s">
        <v>62</v>
      </c>
      <c r="H46" s="4" t="s">
        <v>47</v>
      </c>
      <c r="I46" s="4" t="s">
        <v>171</v>
      </c>
      <c r="J46" s="4" t="s">
        <v>289</v>
      </c>
      <c r="K46" s="4" t="s">
        <v>49</v>
      </c>
      <c r="L46" s="10" t="s">
        <v>171</v>
      </c>
      <c r="M46" s="4" t="s">
        <v>289</v>
      </c>
      <c r="N46" s="4" t="s">
        <v>290</v>
      </c>
    </row>
    <row r="47" customFormat="false" ht="15" hidden="false" customHeight="false" outlineLevel="0" collapsed="false">
      <c r="A47" s="4" t="s">
        <v>291</v>
      </c>
      <c r="B47" s="4" t="s">
        <v>223</v>
      </c>
      <c r="C47" s="4" t="s">
        <v>292</v>
      </c>
      <c r="D47" s="4" t="s">
        <v>259</v>
      </c>
      <c r="E47" s="4" t="s">
        <v>260</v>
      </c>
      <c r="F47" s="4" t="s">
        <v>45</v>
      </c>
      <c r="G47" s="4" t="s">
        <v>46</v>
      </c>
      <c r="H47" s="4" t="s">
        <v>47</v>
      </c>
      <c r="I47" s="4" t="s">
        <v>126</v>
      </c>
      <c r="J47" s="4" t="s">
        <v>126</v>
      </c>
      <c r="K47" s="4" t="s">
        <v>64</v>
      </c>
      <c r="L47" s="9" t="s">
        <v>48</v>
      </c>
      <c r="M47" s="4"/>
      <c r="N47" s="4" t="s">
        <v>293</v>
      </c>
    </row>
    <row r="48" customFormat="false" ht="15" hidden="false" customHeight="false" outlineLevel="0" collapsed="false">
      <c r="A48" s="4" t="s">
        <v>294</v>
      </c>
      <c r="B48" s="4" t="s">
        <v>223</v>
      </c>
      <c r="C48" s="4" t="s">
        <v>295</v>
      </c>
      <c r="D48" s="4" t="s">
        <v>248</v>
      </c>
      <c r="E48" s="4" t="s">
        <v>249</v>
      </c>
      <c r="F48" s="4" t="s">
        <v>45</v>
      </c>
      <c r="G48" s="4" t="s">
        <v>46</v>
      </c>
      <c r="H48" s="4" t="s">
        <v>47</v>
      </c>
      <c r="I48" s="4" t="s">
        <v>48</v>
      </c>
      <c r="J48" s="4"/>
      <c r="K48" s="4" t="s">
        <v>49</v>
      </c>
      <c r="L48" s="9" t="s">
        <v>48</v>
      </c>
      <c r="M48" s="4"/>
      <c r="N48" s="4" t="s">
        <v>296</v>
      </c>
    </row>
    <row r="49" customFormat="false" ht="15" hidden="false" customHeight="false" outlineLevel="0" collapsed="false">
      <c r="A49" s="4" t="s">
        <v>297</v>
      </c>
      <c r="B49" s="4" t="s">
        <v>223</v>
      </c>
      <c r="C49" s="4" t="s">
        <v>298</v>
      </c>
      <c r="D49" s="4" t="s">
        <v>230</v>
      </c>
      <c r="E49" s="4" t="s">
        <v>231</v>
      </c>
      <c r="F49" s="4" t="s">
        <v>45</v>
      </c>
      <c r="G49" s="4" t="s">
        <v>46</v>
      </c>
      <c r="H49" s="4" t="s">
        <v>47</v>
      </c>
      <c r="I49" s="4" t="s">
        <v>48</v>
      </c>
      <c r="J49" s="4"/>
      <c r="K49" s="4" t="s">
        <v>49</v>
      </c>
      <c r="L49" s="9" t="s">
        <v>48</v>
      </c>
      <c r="M49" s="4"/>
      <c r="N49" s="4" t="s">
        <v>299</v>
      </c>
    </row>
    <row r="50" customFormat="false" ht="15" hidden="false" customHeight="false" outlineLevel="0" collapsed="false">
      <c r="A50" s="4" t="s">
        <v>300</v>
      </c>
      <c r="B50" s="4" t="s">
        <v>223</v>
      </c>
      <c r="C50" s="4" t="s">
        <v>301</v>
      </c>
      <c r="D50" s="4" t="s">
        <v>302</v>
      </c>
      <c r="E50" s="4" t="s">
        <v>303</v>
      </c>
      <c r="F50" s="4" t="s">
        <v>45</v>
      </c>
      <c r="G50" s="4" t="s">
        <v>46</v>
      </c>
      <c r="H50" s="4" t="s">
        <v>47</v>
      </c>
      <c r="I50" s="4" t="s">
        <v>48</v>
      </c>
      <c r="J50" s="4"/>
      <c r="K50" s="4" t="s">
        <v>49</v>
      </c>
      <c r="L50" s="9" t="s">
        <v>48</v>
      </c>
      <c r="M50" s="4"/>
      <c r="N50" s="4" t="s">
        <v>304</v>
      </c>
    </row>
    <row r="51" customFormat="false" ht="15" hidden="false" customHeight="false" outlineLevel="0" collapsed="false">
      <c r="A51" s="4" t="s">
        <v>305</v>
      </c>
      <c r="B51" s="4" t="s">
        <v>223</v>
      </c>
      <c r="C51" s="4" t="s">
        <v>301</v>
      </c>
      <c r="D51" s="4" t="s">
        <v>230</v>
      </c>
      <c r="E51" s="4" t="s">
        <v>231</v>
      </c>
      <c r="F51" s="4" t="s">
        <v>45</v>
      </c>
      <c r="G51" s="4" t="s">
        <v>46</v>
      </c>
      <c r="H51" s="4" t="s">
        <v>47</v>
      </c>
      <c r="I51" s="4" t="s">
        <v>48</v>
      </c>
      <c r="J51" s="4"/>
      <c r="K51" s="4" t="s">
        <v>49</v>
      </c>
      <c r="L51" s="9" t="s">
        <v>48</v>
      </c>
      <c r="M51" s="4"/>
      <c r="N51" s="4" t="s">
        <v>304</v>
      </c>
    </row>
    <row r="52" customFormat="false" ht="15" hidden="false" customHeight="false" outlineLevel="0" collapsed="false">
      <c r="A52" s="4" t="s">
        <v>306</v>
      </c>
      <c r="B52" s="4" t="s">
        <v>223</v>
      </c>
      <c r="C52" s="4" t="s">
        <v>301</v>
      </c>
      <c r="D52" s="4" t="s">
        <v>287</v>
      </c>
      <c r="E52" s="4" t="s">
        <v>288</v>
      </c>
      <c r="F52" s="4" t="s">
        <v>45</v>
      </c>
      <c r="G52" s="4" t="s">
        <v>62</v>
      </c>
      <c r="H52" s="4" t="s">
        <v>47</v>
      </c>
      <c r="I52" s="4" t="s">
        <v>171</v>
      </c>
      <c r="J52" s="4" t="s">
        <v>289</v>
      </c>
      <c r="K52" s="4" t="s">
        <v>49</v>
      </c>
      <c r="L52" s="10" t="s">
        <v>171</v>
      </c>
      <c r="M52" s="4" t="s">
        <v>289</v>
      </c>
      <c r="N52" s="4" t="s">
        <v>304</v>
      </c>
    </row>
    <row r="53" customFormat="false" ht="15" hidden="false" customHeight="false" outlineLevel="0" collapsed="false">
      <c r="A53" s="4" t="s">
        <v>307</v>
      </c>
      <c r="B53" s="4" t="s">
        <v>223</v>
      </c>
      <c r="C53" s="4" t="s">
        <v>308</v>
      </c>
      <c r="D53" s="4" t="s">
        <v>259</v>
      </c>
      <c r="E53" s="4" t="s">
        <v>260</v>
      </c>
      <c r="F53" s="4" t="s">
        <v>45</v>
      </c>
      <c r="G53" s="4" t="s">
        <v>46</v>
      </c>
      <c r="H53" s="4" t="s">
        <v>47</v>
      </c>
      <c r="I53" s="4" t="s">
        <v>126</v>
      </c>
      <c r="J53" s="4" t="s">
        <v>126</v>
      </c>
      <c r="K53" s="4" t="s">
        <v>64</v>
      </c>
      <c r="L53" s="9" t="s">
        <v>48</v>
      </c>
      <c r="M53" s="4"/>
      <c r="N53" s="4" t="s">
        <v>309</v>
      </c>
    </row>
    <row r="54" customFormat="false" ht="15" hidden="false" customHeight="false" outlineLevel="0" collapsed="false">
      <c r="A54" s="4" t="s">
        <v>310</v>
      </c>
      <c r="B54" s="4" t="s">
        <v>223</v>
      </c>
      <c r="C54" s="4" t="s">
        <v>311</v>
      </c>
      <c r="D54" s="4" t="s">
        <v>240</v>
      </c>
      <c r="E54" s="4" t="s">
        <v>241</v>
      </c>
      <c r="F54" s="4" t="s">
        <v>45</v>
      </c>
      <c r="G54" s="4" t="s">
        <v>46</v>
      </c>
      <c r="H54" s="4" t="s">
        <v>47</v>
      </c>
      <c r="I54" s="4" t="s">
        <v>48</v>
      </c>
      <c r="J54" s="4"/>
      <c r="K54" s="4" t="s">
        <v>49</v>
      </c>
      <c r="L54" s="9" t="s">
        <v>48</v>
      </c>
      <c r="M54" s="4"/>
      <c r="N54" s="4" t="s">
        <v>312</v>
      </c>
    </row>
    <row r="55" customFormat="false" ht="15" hidden="false" customHeight="false" outlineLevel="0" collapsed="false">
      <c r="A55" s="4" t="s">
        <v>313</v>
      </c>
      <c r="B55" s="4" t="s">
        <v>223</v>
      </c>
      <c r="C55" s="4" t="s">
        <v>311</v>
      </c>
      <c r="D55" s="4" t="s">
        <v>244</v>
      </c>
      <c r="E55" s="4" t="s">
        <v>245</v>
      </c>
      <c r="F55" s="4" t="s">
        <v>45</v>
      </c>
      <c r="G55" s="4" t="s">
        <v>62</v>
      </c>
      <c r="H55" s="4" t="s">
        <v>47</v>
      </c>
      <c r="I55" s="4" t="s">
        <v>171</v>
      </c>
      <c r="J55" s="4" t="s">
        <v>172</v>
      </c>
      <c r="K55" s="4" t="s">
        <v>49</v>
      </c>
      <c r="L55" s="10" t="s">
        <v>171</v>
      </c>
      <c r="M55" s="4" t="s">
        <v>172</v>
      </c>
      <c r="N55" s="4" t="s">
        <v>312</v>
      </c>
    </row>
    <row r="56" customFormat="false" ht="15" hidden="false" customHeight="false" outlineLevel="0" collapsed="false">
      <c r="A56" s="4" t="s">
        <v>314</v>
      </c>
      <c r="B56" s="4" t="s">
        <v>223</v>
      </c>
      <c r="C56" s="4" t="s">
        <v>315</v>
      </c>
      <c r="D56" s="4" t="s">
        <v>316</v>
      </c>
      <c r="E56" s="4" t="s">
        <v>317</v>
      </c>
      <c r="F56" s="4" t="s">
        <v>45</v>
      </c>
      <c r="G56" s="4" t="s">
        <v>46</v>
      </c>
      <c r="H56" s="4" t="s">
        <v>47</v>
      </c>
      <c r="I56" s="4" t="s">
        <v>48</v>
      </c>
      <c r="J56" s="4"/>
      <c r="K56" s="4" t="s">
        <v>49</v>
      </c>
      <c r="L56" s="9" t="s">
        <v>48</v>
      </c>
      <c r="M56" s="4"/>
      <c r="N56" s="4" t="s">
        <v>318</v>
      </c>
    </row>
    <row r="57" customFormat="false" ht="15" hidden="false" customHeight="false" outlineLevel="0" collapsed="false">
      <c r="A57" s="4" t="s">
        <v>319</v>
      </c>
      <c r="B57" s="4" t="s">
        <v>223</v>
      </c>
      <c r="C57" s="4" t="s">
        <v>320</v>
      </c>
      <c r="D57" s="4" t="s">
        <v>240</v>
      </c>
      <c r="E57" s="4" t="s">
        <v>241</v>
      </c>
      <c r="F57" s="4" t="s">
        <v>45</v>
      </c>
      <c r="G57" s="4" t="s">
        <v>46</v>
      </c>
      <c r="H57" s="4" t="s">
        <v>47</v>
      </c>
      <c r="I57" s="4" t="s">
        <v>48</v>
      </c>
      <c r="J57" s="4"/>
      <c r="K57" s="4" t="s">
        <v>49</v>
      </c>
      <c r="L57" s="9" t="s">
        <v>48</v>
      </c>
      <c r="M57" s="4"/>
      <c r="N57" s="4" t="s">
        <v>321</v>
      </c>
    </row>
    <row r="58" customFormat="false" ht="15" hidden="false" customHeight="false" outlineLevel="0" collapsed="false">
      <c r="A58" s="4" t="s">
        <v>322</v>
      </c>
      <c r="B58" s="4" t="s">
        <v>223</v>
      </c>
      <c r="C58" s="4" t="s">
        <v>320</v>
      </c>
      <c r="D58" s="4" t="s">
        <v>244</v>
      </c>
      <c r="E58" s="4" t="s">
        <v>245</v>
      </c>
      <c r="F58" s="4" t="s">
        <v>45</v>
      </c>
      <c r="G58" s="4" t="s">
        <v>62</v>
      </c>
      <c r="H58" s="4" t="s">
        <v>47</v>
      </c>
      <c r="I58" s="4" t="s">
        <v>171</v>
      </c>
      <c r="J58" s="4" t="s">
        <v>172</v>
      </c>
      <c r="K58" s="4" t="s">
        <v>49</v>
      </c>
      <c r="L58" s="10" t="s">
        <v>171</v>
      </c>
      <c r="M58" s="4" t="s">
        <v>172</v>
      </c>
      <c r="N58" s="4" t="s">
        <v>321</v>
      </c>
    </row>
    <row r="59" customFormat="false" ht="15" hidden="false" customHeight="false" outlineLevel="0" collapsed="false">
      <c r="A59" s="4" t="s">
        <v>323</v>
      </c>
      <c r="B59" s="4" t="s">
        <v>223</v>
      </c>
      <c r="C59" s="4" t="s">
        <v>320</v>
      </c>
      <c r="D59" s="4" t="s">
        <v>235</v>
      </c>
      <c r="E59" s="4" t="s">
        <v>236</v>
      </c>
      <c r="F59" s="4" t="s">
        <v>45</v>
      </c>
      <c r="G59" s="4" t="s">
        <v>46</v>
      </c>
      <c r="H59" s="4" t="s">
        <v>47</v>
      </c>
      <c r="I59" s="4" t="s">
        <v>48</v>
      </c>
      <c r="J59" s="4"/>
      <c r="K59" s="4" t="s">
        <v>49</v>
      </c>
      <c r="L59" s="9" t="s">
        <v>48</v>
      </c>
      <c r="M59" s="4"/>
      <c r="N59" s="4" t="s">
        <v>321</v>
      </c>
    </row>
    <row r="60" customFormat="false" ht="15" hidden="false" customHeight="false" outlineLevel="0" collapsed="false">
      <c r="A60" s="4" t="s">
        <v>324</v>
      </c>
      <c r="B60" s="4" t="s">
        <v>223</v>
      </c>
      <c r="C60" s="4" t="s">
        <v>325</v>
      </c>
      <c r="D60" s="4" t="s">
        <v>248</v>
      </c>
      <c r="E60" s="4" t="s">
        <v>249</v>
      </c>
      <c r="F60" s="4" t="s">
        <v>45</v>
      </c>
      <c r="G60" s="4" t="s">
        <v>46</v>
      </c>
      <c r="H60" s="4" t="s">
        <v>47</v>
      </c>
      <c r="I60" s="4" t="s">
        <v>48</v>
      </c>
      <c r="J60" s="4"/>
      <c r="K60" s="4" t="s">
        <v>49</v>
      </c>
      <c r="L60" s="9" t="s">
        <v>48</v>
      </c>
      <c r="M60" s="4"/>
      <c r="N60" s="4" t="s">
        <v>326</v>
      </c>
    </row>
    <row r="61" customFormat="false" ht="15" hidden="false" customHeight="false" outlineLevel="0" collapsed="false">
      <c r="A61" s="4" t="s">
        <v>327</v>
      </c>
      <c r="B61" s="4" t="s">
        <v>223</v>
      </c>
      <c r="C61" s="4" t="s">
        <v>328</v>
      </c>
      <c r="D61" s="4" t="s">
        <v>329</v>
      </c>
      <c r="E61" s="4" t="s">
        <v>330</v>
      </c>
      <c r="F61" s="4" t="s">
        <v>45</v>
      </c>
      <c r="G61" s="4" t="s">
        <v>46</v>
      </c>
      <c r="H61" s="4" t="s">
        <v>47</v>
      </c>
      <c r="I61" s="4" t="s">
        <v>48</v>
      </c>
      <c r="J61" s="4"/>
      <c r="K61" s="4" t="s">
        <v>49</v>
      </c>
      <c r="L61" s="9" t="s">
        <v>48</v>
      </c>
      <c r="M61" s="4"/>
      <c r="N61" s="4" t="s">
        <v>331</v>
      </c>
    </row>
    <row r="62" customFormat="false" ht="15" hidden="false" customHeight="false" outlineLevel="0" collapsed="false">
      <c r="A62" s="4" t="s">
        <v>332</v>
      </c>
      <c r="B62" s="4" t="s">
        <v>223</v>
      </c>
      <c r="C62" s="4" t="s">
        <v>328</v>
      </c>
      <c r="D62" s="4" t="s">
        <v>333</v>
      </c>
      <c r="E62" s="4" t="s">
        <v>334</v>
      </c>
      <c r="F62" s="4" t="s">
        <v>45</v>
      </c>
      <c r="G62" s="4" t="s">
        <v>62</v>
      </c>
      <c r="H62" s="4" t="s">
        <v>47</v>
      </c>
      <c r="I62" s="4" t="s">
        <v>171</v>
      </c>
      <c r="J62" s="4" t="s">
        <v>172</v>
      </c>
      <c r="K62" s="4" t="s">
        <v>49</v>
      </c>
      <c r="L62" s="10" t="s">
        <v>171</v>
      </c>
      <c r="M62" s="4" t="s">
        <v>172</v>
      </c>
      <c r="N62" s="4" t="s">
        <v>331</v>
      </c>
    </row>
    <row r="63" customFormat="false" ht="15" hidden="false" customHeight="false" outlineLevel="0" collapsed="false">
      <c r="A63" s="4" t="s">
        <v>335</v>
      </c>
      <c r="B63" s="4" t="s">
        <v>223</v>
      </c>
      <c r="C63" s="4" t="s">
        <v>336</v>
      </c>
      <c r="D63" s="4" t="s">
        <v>248</v>
      </c>
      <c r="E63" s="4" t="s">
        <v>249</v>
      </c>
      <c r="F63" s="4" t="s">
        <v>45</v>
      </c>
      <c r="G63" s="4" t="s">
        <v>46</v>
      </c>
      <c r="H63" s="4" t="s">
        <v>47</v>
      </c>
      <c r="I63" s="4" t="s">
        <v>48</v>
      </c>
      <c r="J63" s="4"/>
      <c r="K63" s="4" t="s">
        <v>49</v>
      </c>
      <c r="L63" s="9" t="s">
        <v>48</v>
      </c>
      <c r="M63" s="4"/>
      <c r="N63" s="4" t="s">
        <v>337</v>
      </c>
    </row>
    <row r="64" customFormat="false" ht="15" hidden="false" customHeight="false" outlineLevel="0" collapsed="false">
      <c r="A64" s="4" t="s">
        <v>338</v>
      </c>
      <c r="B64" s="4" t="s">
        <v>339</v>
      </c>
      <c r="C64" s="4" t="s">
        <v>340</v>
      </c>
      <c r="D64" s="4" t="s">
        <v>341</v>
      </c>
      <c r="E64" s="4" t="s">
        <v>342</v>
      </c>
      <c r="F64" s="4" t="s">
        <v>45</v>
      </c>
      <c r="G64" s="4" t="s">
        <v>62</v>
      </c>
      <c r="H64" s="4" t="s">
        <v>47</v>
      </c>
      <c r="I64" s="4" t="s">
        <v>171</v>
      </c>
      <c r="J64" s="4" t="s">
        <v>172</v>
      </c>
      <c r="K64" s="4" t="s">
        <v>49</v>
      </c>
      <c r="L64" s="10" t="s">
        <v>171</v>
      </c>
      <c r="M64" s="4" t="s">
        <v>172</v>
      </c>
      <c r="N64" s="4" t="s">
        <v>343</v>
      </c>
    </row>
    <row r="65" customFormat="false" ht="15" hidden="false" customHeight="false" outlineLevel="0" collapsed="false">
      <c r="A65" s="4" t="s">
        <v>344</v>
      </c>
      <c r="B65" s="4" t="s">
        <v>339</v>
      </c>
      <c r="C65" s="4" t="s">
        <v>345</v>
      </c>
      <c r="D65" s="4" t="s">
        <v>341</v>
      </c>
      <c r="E65" s="4" t="s">
        <v>342</v>
      </c>
      <c r="F65" s="4" t="s">
        <v>45</v>
      </c>
      <c r="G65" s="4" t="s">
        <v>62</v>
      </c>
      <c r="H65" s="4" t="s">
        <v>47</v>
      </c>
      <c r="I65" s="4" t="s">
        <v>171</v>
      </c>
      <c r="J65" s="4" t="s">
        <v>172</v>
      </c>
      <c r="K65" s="4" t="s">
        <v>49</v>
      </c>
      <c r="L65" s="10" t="s">
        <v>171</v>
      </c>
      <c r="M65" s="4" t="s">
        <v>172</v>
      </c>
      <c r="N65" s="4" t="s">
        <v>346</v>
      </c>
    </row>
    <row r="66" customFormat="false" ht="15" hidden="false" customHeight="false" outlineLevel="0" collapsed="false">
      <c r="A66" s="4" t="s">
        <v>347</v>
      </c>
      <c r="B66" s="4" t="s">
        <v>339</v>
      </c>
      <c r="C66" s="4" t="s">
        <v>348</v>
      </c>
      <c r="D66" s="4" t="s">
        <v>341</v>
      </c>
      <c r="E66" s="4" t="s">
        <v>342</v>
      </c>
      <c r="F66" s="4" t="s">
        <v>45</v>
      </c>
      <c r="G66" s="4" t="s">
        <v>62</v>
      </c>
      <c r="H66" s="4" t="s">
        <v>47</v>
      </c>
      <c r="I66" s="4" t="s">
        <v>171</v>
      </c>
      <c r="J66" s="4" t="s">
        <v>172</v>
      </c>
      <c r="K66" s="4" t="s">
        <v>49</v>
      </c>
      <c r="L66" s="10" t="s">
        <v>171</v>
      </c>
      <c r="M66" s="4" t="s">
        <v>172</v>
      </c>
      <c r="N66" s="4" t="s">
        <v>349</v>
      </c>
    </row>
    <row r="67" customFormat="false" ht="15" hidden="false" customHeight="false" outlineLevel="0" collapsed="false">
      <c r="A67" s="4" t="s">
        <v>350</v>
      </c>
      <c r="B67" s="4" t="s">
        <v>351</v>
      </c>
      <c r="C67" s="4" t="s">
        <v>352</v>
      </c>
      <c r="D67" s="4" t="s">
        <v>353</v>
      </c>
      <c r="E67" s="4" t="s">
        <v>354</v>
      </c>
      <c r="F67" s="4" t="s">
        <v>45</v>
      </c>
      <c r="G67" s="4" t="s">
        <v>46</v>
      </c>
      <c r="H67" s="4" t="s">
        <v>47</v>
      </c>
      <c r="I67" s="4" t="s">
        <v>48</v>
      </c>
      <c r="J67" s="4"/>
      <c r="K67" s="4" t="s">
        <v>49</v>
      </c>
      <c r="L67" s="9" t="s">
        <v>48</v>
      </c>
      <c r="M67" s="4"/>
      <c r="N67" s="4" t="s">
        <v>355</v>
      </c>
    </row>
    <row r="68" customFormat="false" ht="15" hidden="false" customHeight="false" outlineLevel="0" collapsed="false">
      <c r="A68" s="4" t="s">
        <v>356</v>
      </c>
      <c r="B68" s="4" t="s">
        <v>351</v>
      </c>
      <c r="C68" s="4" t="s">
        <v>357</v>
      </c>
      <c r="D68" s="4" t="s">
        <v>358</v>
      </c>
      <c r="E68" s="4" t="s">
        <v>359</v>
      </c>
      <c r="F68" s="4" t="s">
        <v>45</v>
      </c>
      <c r="G68" s="4" t="s">
        <v>46</v>
      </c>
      <c r="H68" s="4" t="s">
        <v>47</v>
      </c>
      <c r="I68" s="4" t="s">
        <v>48</v>
      </c>
      <c r="J68" s="4"/>
      <c r="K68" s="4" t="s">
        <v>49</v>
      </c>
      <c r="L68" s="9" t="s">
        <v>48</v>
      </c>
      <c r="M68" s="4"/>
      <c r="N68" s="4" t="s">
        <v>360</v>
      </c>
    </row>
    <row r="69" customFormat="false" ht="15" hidden="false" customHeight="false" outlineLevel="0" collapsed="false">
      <c r="A69" s="4" t="s">
        <v>361</v>
      </c>
      <c r="B69" s="4" t="s">
        <v>351</v>
      </c>
      <c r="C69" s="4" t="s">
        <v>357</v>
      </c>
      <c r="D69" s="4" t="s">
        <v>362</v>
      </c>
      <c r="E69" s="4" t="s">
        <v>363</v>
      </c>
      <c r="F69" s="4" t="s">
        <v>45</v>
      </c>
      <c r="G69" s="4" t="s">
        <v>46</v>
      </c>
      <c r="H69" s="4" t="s">
        <v>47</v>
      </c>
      <c r="I69" s="4" t="s">
        <v>48</v>
      </c>
      <c r="J69" s="4"/>
      <c r="K69" s="4" t="s">
        <v>49</v>
      </c>
      <c r="L69" s="9" t="s">
        <v>48</v>
      </c>
      <c r="M69" s="4"/>
      <c r="N69" s="4" t="s">
        <v>360</v>
      </c>
    </row>
    <row r="70" customFormat="false" ht="15" hidden="false" customHeight="false" outlineLevel="0" collapsed="false">
      <c r="A70" s="4" t="s">
        <v>364</v>
      </c>
      <c r="B70" s="4" t="s">
        <v>365</v>
      </c>
      <c r="C70" s="4" t="s">
        <v>366</v>
      </c>
      <c r="D70" s="4" t="s">
        <v>367</v>
      </c>
      <c r="E70" s="4" t="s">
        <v>368</v>
      </c>
      <c r="F70" s="4" t="s">
        <v>45</v>
      </c>
      <c r="G70" s="4" t="s">
        <v>62</v>
      </c>
      <c r="H70" s="4" t="s">
        <v>47</v>
      </c>
      <c r="I70" s="4" t="s">
        <v>171</v>
      </c>
      <c r="J70" s="4" t="s">
        <v>369</v>
      </c>
      <c r="K70" s="4" t="s">
        <v>49</v>
      </c>
      <c r="L70" s="10" t="s">
        <v>171</v>
      </c>
      <c r="M70" s="4" t="s">
        <v>369</v>
      </c>
      <c r="N70" s="4" t="s">
        <v>370</v>
      </c>
    </row>
    <row r="71" customFormat="false" ht="15" hidden="false" customHeight="false" outlineLevel="0" collapsed="false">
      <c r="A71" s="4" t="s">
        <v>371</v>
      </c>
      <c r="B71" s="4" t="s">
        <v>365</v>
      </c>
      <c r="C71" s="4" t="s">
        <v>366</v>
      </c>
      <c r="D71" s="4" t="s">
        <v>372</v>
      </c>
      <c r="E71" s="4" t="s">
        <v>373</v>
      </c>
      <c r="F71" s="4" t="s">
        <v>45</v>
      </c>
      <c r="G71" s="4" t="s">
        <v>46</v>
      </c>
      <c r="H71" s="4" t="s">
        <v>47</v>
      </c>
      <c r="I71" s="4" t="s">
        <v>48</v>
      </c>
      <c r="J71" s="4"/>
      <c r="K71" s="4" t="s">
        <v>49</v>
      </c>
      <c r="L71" s="9" t="s">
        <v>48</v>
      </c>
      <c r="M71" s="4"/>
      <c r="N71" s="4" t="s">
        <v>370</v>
      </c>
    </row>
    <row r="72" customFormat="false" ht="15" hidden="false" customHeight="false" outlineLevel="0" collapsed="false">
      <c r="A72" s="4" t="s">
        <v>374</v>
      </c>
      <c r="B72" s="4" t="s">
        <v>365</v>
      </c>
      <c r="C72" s="4" t="s">
        <v>375</v>
      </c>
      <c r="D72" s="4" t="s">
        <v>376</v>
      </c>
      <c r="E72" s="4" t="s">
        <v>377</v>
      </c>
      <c r="F72" s="4" t="s">
        <v>45</v>
      </c>
      <c r="G72" s="4" t="s">
        <v>62</v>
      </c>
      <c r="H72" s="4" t="s">
        <v>47</v>
      </c>
      <c r="I72" s="4" t="s">
        <v>171</v>
      </c>
      <c r="J72" s="4" t="s">
        <v>369</v>
      </c>
      <c r="K72" s="4" t="s">
        <v>49</v>
      </c>
      <c r="L72" s="10" t="s">
        <v>171</v>
      </c>
      <c r="M72" s="4" t="s">
        <v>369</v>
      </c>
      <c r="N72" s="4" t="s">
        <v>378</v>
      </c>
    </row>
    <row r="73" customFormat="false" ht="15" hidden="false" customHeight="false" outlineLevel="0" collapsed="false">
      <c r="A73" s="4" t="s">
        <v>379</v>
      </c>
      <c r="B73" s="4" t="s">
        <v>365</v>
      </c>
      <c r="C73" s="4" t="s">
        <v>380</v>
      </c>
      <c r="D73" s="4" t="s">
        <v>381</v>
      </c>
      <c r="E73" s="4" t="s">
        <v>382</v>
      </c>
      <c r="F73" s="4" t="s">
        <v>45</v>
      </c>
      <c r="G73" s="4" t="s">
        <v>46</v>
      </c>
      <c r="H73" s="4" t="s">
        <v>47</v>
      </c>
      <c r="I73" s="4" t="s">
        <v>48</v>
      </c>
      <c r="J73" s="4"/>
      <c r="K73" s="4" t="s">
        <v>49</v>
      </c>
      <c r="L73" s="9" t="s">
        <v>48</v>
      </c>
      <c r="M73" s="4"/>
      <c r="N73" s="4" t="s">
        <v>383</v>
      </c>
    </row>
    <row r="74" customFormat="false" ht="15" hidden="false" customHeight="false" outlineLevel="0" collapsed="false">
      <c r="A74" s="4" t="s">
        <v>384</v>
      </c>
      <c r="B74" s="4" t="s">
        <v>385</v>
      </c>
      <c r="C74" s="4" t="s">
        <v>386</v>
      </c>
      <c r="D74" s="4" t="s">
        <v>387</v>
      </c>
      <c r="E74" s="4" t="s">
        <v>388</v>
      </c>
      <c r="F74" s="4" t="s">
        <v>45</v>
      </c>
      <c r="G74" s="4" t="s">
        <v>46</v>
      </c>
      <c r="H74" s="4" t="s">
        <v>47</v>
      </c>
      <c r="I74" s="4" t="s">
        <v>48</v>
      </c>
      <c r="J74" s="4"/>
      <c r="K74" s="4" t="s">
        <v>49</v>
      </c>
      <c r="L74" s="9" t="s">
        <v>48</v>
      </c>
      <c r="M74" s="4"/>
      <c r="N74" s="4" t="s">
        <v>389</v>
      </c>
    </row>
    <row r="75" customFormat="false" ht="15" hidden="false" customHeight="false" outlineLevel="0" collapsed="false">
      <c r="A75" s="4" t="s">
        <v>390</v>
      </c>
      <c r="B75" s="4" t="s">
        <v>391</v>
      </c>
      <c r="C75" s="4" t="s">
        <v>392</v>
      </c>
      <c r="D75" s="4" t="s">
        <v>393</v>
      </c>
      <c r="E75" s="4" t="s">
        <v>394</v>
      </c>
      <c r="F75" s="4" t="s">
        <v>45</v>
      </c>
      <c r="G75" s="4" t="s">
        <v>46</v>
      </c>
      <c r="H75" s="4" t="s">
        <v>47</v>
      </c>
      <c r="I75" s="4" t="s">
        <v>48</v>
      </c>
      <c r="J75" s="4"/>
      <c r="K75" s="4" t="s">
        <v>49</v>
      </c>
      <c r="L75" s="9" t="s">
        <v>48</v>
      </c>
      <c r="M75" s="4"/>
      <c r="N75" s="4" t="s">
        <v>395</v>
      </c>
    </row>
    <row r="76" customFormat="false" ht="15" hidden="false" customHeight="false" outlineLevel="0" collapsed="false">
      <c r="A76" s="4" t="s">
        <v>396</v>
      </c>
      <c r="B76" s="4" t="s">
        <v>397</v>
      </c>
      <c r="C76" s="4" t="s">
        <v>398</v>
      </c>
      <c r="D76" s="4" t="s">
        <v>399</v>
      </c>
      <c r="E76" s="4" t="s">
        <v>400</v>
      </c>
      <c r="F76" s="4" t="s">
        <v>45</v>
      </c>
      <c r="G76" s="4" t="s">
        <v>46</v>
      </c>
      <c r="H76" s="4" t="s">
        <v>139</v>
      </c>
      <c r="I76" s="4" t="s">
        <v>48</v>
      </c>
      <c r="J76" s="4"/>
      <c r="K76" s="4" t="s">
        <v>49</v>
      </c>
      <c r="L76" s="9" t="s">
        <v>48</v>
      </c>
      <c r="M76" s="4"/>
      <c r="N76" s="4" t="s">
        <v>401</v>
      </c>
    </row>
    <row r="77" customFormat="false" ht="15" hidden="false" customHeight="false" outlineLevel="0" collapsed="false">
      <c r="A77" s="4" t="s">
        <v>402</v>
      </c>
      <c r="B77" s="4" t="s">
        <v>403</v>
      </c>
      <c r="C77" s="4" t="s">
        <v>404</v>
      </c>
      <c r="D77" s="4" t="s">
        <v>405</v>
      </c>
      <c r="E77" s="4" t="s">
        <v>406</v>
      </c>
      <c r="F77" s="4" t="s">
        <v>45</v>
      </c>
      <c r="G77" s="4" t="s">
        <v>78</v>
      </c>
      <c r="H77" s="4" t="s">
        <v>139</v>
      </c>
      <c r="I77" s="4" t="s">
        <v>48</v>
      </c>
      <c r="J77" s="4"/>
      <c r="K77" s="4" t="s">
        <v>49</v>
      </c>
      <c r="L77" s="9" t="s">
        <v>48</v>
      </c>
      <c r="M77" s="4"/>
      <c r="N77" s="4" t="s">
        <v>407</v>
      </c>
    </row>
    <row r="78" customFormat="false" ht="15" hidden="false" customHeight="false" outlineLevel="0" collapsed="false">
      <c r="A78" s="4" t="s">
        <v>408</v>
      </c>
      <c r="B78" s="4" t="s">
        <v>409</v>
      </c>
      <c r="C78" s="4" t="s">
        <v>410</v>
      </c>
      <c r="D78" s="4" t="s">
        <v>411</v>
      </c>
      <c r="E78" s="4" t="s">
        <v>412</v>
      </c>
      <c r="F78" s="4" t="s">
        <v>45</v>
      </c>
      <c r="G78" s="4" t="s">
        <v>62</v>
      </c>
      <c r="H78" s="4" t="s">
        <v>85</v>
      </c>
      <c r="I78" s="4" t="s">
        <v>413</v>
      </c>
      <c r="J78" s="4" t="s">
        <v>413</v>
      </c>
      <c r="K78" s="4" t="s">
        <v>64</v>
      </c>
      <c r="L78" s="10" t="s">
        <v>413</v>
      </c>
      <c r="M78" s="4" t="s">
        <v>413</v>
      </c>
      <c r="N78" s="4" t="s">
        <v>414</v>
      </c>
    </row>
    <row r="79" customFormat="false" ht="15" hidden="false" customHeight="false" outlineLevel="0" collapsed="false">
      <c r="A79" s="4" t="s">
        <v>415</v>
      </c>
      <c r="B79" s="4" t="s">
        <v>409</v>
      </c>
      <c r="C79" s="4" t="s">
        <v>416</v>
      </c>
      <c r="D79" s="4" t="s">
        <v>417</v>
      </c>
      <c r="E79" s="4" t="s">
        <v>418</v>
      </c>
      <c r="F79" s="4" t="s">
        <v>45</v>
      </c>
      <c r="G79" s="4" t="s">
        <v>62</v>
      </c>
      <c r="H79" s="4" t="s">
        <v>85</v>
      </c>
      <c r="I79" s="4" t="s">
        <v>413</v>
      </c>
      <c r="J79" s="4" t="s">
        <v>413</v>
      </c>
      <c r="K79" s="4" t="s">
        <v>64</v>
      </c>
      <c r="L79" s="10" t="s">
        <v>413</v>
      </c>
      <c r="M79" s="4" t="s">
        <v>413</v>
      </c>
      <c r="N79" s="4" t="s">
        <v>419</v>
      </c>
    </row>
    <row r="80" customFormat="false" ht="15" hidden="false" customHeight="false" outlineLevel="0" collapsed="false">
      <c r="A80" s="4" t="s">
        <v>420</v>
      </c>
      <c r="B80" s="4" t="s">
        <v>421</v>
      </c>
      <c r="C80" s="4" t="s">
        <v>422</v>
      </c>
      <c r="D80" s="4" t="s">
        <v>423</v>
      </c>
      <c r="E80" s="4" t="s">
        <v>424</v>
      </c>
      <c r="F80" s="4" t="s">
        <v>45</v>
      </c>
      <c r="G80" s="4" t="s">
        <v>62</v>
      </c>
      <c r="H80" s="4" t="s">
        <v>47</v>
      </c>
      <c r="I80" s="4" t="s">
        <v>425</v>
      </c>
      <c r="J80" s="4" t="s">
        <v>425</v>
      </c>
      <c r="K80" s="4" t="s">
        <v>64</v>
      </c>
      <c r="L80" s="10" t="s">
        <v>425</v>
      </c>
      <c r="M80" s="4" t="s">
        <v>425</v>
      </c>
      <c r="N80" s="4" t="s">
        <v>426</v>
      </c>
    </row>
    <row r="81" customFormat="false" ht="15" hidden="false" customHeight="false" outlineLevel="0" collapsed="false">
      <c r="A81" s="4" t="s">
        <v>427</v>
      </c>
      <c r="B81" s="4" t="s">
        <v>421</v>
      </c>
      <c r="C81" s="4" t="s">
        <v>428</v>
      </c>
      <c r="D81" s="4" t="s">
        <v>429</v>
      </c>
      <c r="E81" s="4" t="s">
        <v>430</v>
      </c>
      <c r="F81" s="4" t="s">
        <v>45</v>
      </c>
      <c r="G81" s="4" t="s">
        <v>62</v>
      </c>
      <c r="H81" s="4" t="s">
        <v>47</v>
      </c>
      <c r="I81" s="4" t="s">
        <v>425</v>
      </c>
      <c r="J81" s="4" t="s">
        <v>425</v>
      </c>
      <c r="K81" s="4" t="s">
        <v>64</v>
      </c>
      <c r="L81" s="10" t="s">
        <v>425</v>
      </c>
      <c r="M81" s="4" t="s">
        <v>425</v>
      </c>
      <c r="N81" s="4" t="s">
        <v>431</v>
      </c>
    </row>
    <row r="82" customFormat="false" ht="15" hidden="false" customHeight="false" outlineLevel="0" collapsed="false">
      <c r="A82" s="4" t="s">
        <v>432</v>
      </c>
      <c r="B82" s="4" t="s">
        <v>421</v>
      </c>
      <c r="C82" s="4" t="s">
        <v>433</v>
      </c>
      <c r="D82" s="4" t="s">
        <v>434</v>
      </c>
      <c r="E82" s="4" t="s">
        <v>435</v>
      </c>
      <c r="F82" s="4" t="s">
        <v>45</v>
      </c>
      <c r="G82" s="4" t="s">
        <v>62</v>
      </c>
      <c r="H82" s="4" t="s">
        <v>47</v>
      </c>
      <c r="I82" s="4" t="s">
        <v>425</v>
      </c>
      <c r="J82" s="4" t="s">
        <v>425</v>
      </c>
      <c r="K82" s="4" t="s">
        <v>64</v>
      </c>
      <c r="L82" s="10" t="s">
        <v>425</v>
      </c>
      <c r="M82" s="4" t="s">
        <v>425</v>
      </c>
      <c r="N82" s="4" t="s">
        <v>436</v>
      </c>
    </row>
    <row r="83" customFormat="false" ht="15" hidden="false" customHeight="false" outlineLevel="0" collapsed="false">
      <c r="A83" s="4" t="s">
        <v>437</v>
      </c>
      <c r="B83" s="4" t="s">
        <v>438</v>
      </c>
      <c r="C83" s="4" t="s">
        <v>439</v>
      </c>
      <c r="D83" s="4" t="s">
        <v>440</v>
      </c>
      <c r="E83" s="4" t="s">
        <v>441</v>
      </c>
      <c r="F83" s="4" t="s">
        <v>45</v>
      </c>
      <c r="G83" s="4" t="s">
        <v>46</v>
      </c>
      <c r="H83" s="4" t="s">
        <v>47</v>
      </c>
      <c r="I83" s="4" t="s">
        <v>126</v>
      </c>
      <c r="J83" s="4" t="s">
        <v>126</v>
      </c>
      <c r="K83" s="4" t="s">
        <v>64</v>
      </c>
      <c r="L83" s="9" t="s">
        <v>48</v>
      </c>
      <c r="M83" s="4"/>
      <c r="N83" s="4" t="s">
        <v>442</v>
      </c>
    </row>
    <row r="84" customFormat="false" ht="15" hidden="false" customHeight="false" outlineLevel="0" collapsed="false">
      <c r="A84" s="4" t="s">
        <v>443</v>
      </c>
      <c r="B84" s="4" t="s">
        <v>438</v>
      </c>
      <c r="C84" s="4" t="s">
        <v>439</v>
      </c>
      <c r="D84" s="4" t="s">
        <v>444</v>
      </c>
      <c r="E84" s="4" t="s">
        <v>445</v>
      </c>
      <c r="F84" s="4" t="s">
        <v>45</v>
      </c>
      <c r="G84" s="4" t="s">
        <v>46</v>
      </c>
      <c r="H84" s="4" t="s">
        <v>47</v>
      </c>
      <c r="I84" s="4" t="s">
        <v>126</v>
      </c>
      <c r="J84" s="4" t="s">
        <v>126</v>
      </c>
      <c r="K84" s="4" t="s">
        <v>64</v>
      </c>
      <c r="L84" s="9" t="s">
        <v>48</v>
      </c>
      <c r="M84" s="4"/>
      <c r="N84" s="4" t="s">
        <v>442</v>
      </c>
    </row>
    <row r="85" customFormat="false" ht="15" hidden="false" customHeight="false" outlineLevel="0" collapsed="false">
      <c r="A85" s="4" t="s">
        <v>446</v>
      </c>
      <c r="B85" s="4" t="s">
        <v>438</v>
      </c>
      <c r="C85" s="4" t="s">
        <v>439</v>
      </c>
      <c r="D85" s="4" t="s">
        <v>447</v>
      </c>
      <c r="E85" s="4" t="s">
        <v>448</v>
      </c>
      <c r="F85" s="4" t="s">
        <v>45</v>
      </c>
      <c r="G85" s="4" t="s">
        <v>46</v>
      </c>
      <c r="H85" s="4" t="s">
        <v>47</v>
      </c>
      <c r="I85" s="4" t="s">
        <v>126</v>
      </c>
      <c r="J85" s="4" t="s">
        <v>126</v>
      </c>
      <c r="K85" s="4" t="s">
        <v>64</v>
      </c>
      <c r="L85" s="9" t="s">
        <v>48</v>
      </c>
      <c r="M85" s="4"/>
      <c r="N85" s="4" t="s">
        <v>442</v>
      </c>
    </row>
    <row r="86" customFormat="false" ht="15" hidden="false" customHeight="false" outlineLevel="0" collapsed="false">
      <c r="A86" s="4" t="s">
        <v>449</v>
      </c>
      <c r="B86" s="4" t="s">
        <v>438</v>
      </c>
      <c r="C86" s="4" t="s">
        <v>450</v>
      </c>
      <c r="D86" s="4" t="s">
        <v>451</v>
      </c>
      <c r="E86" s="4" t="s">
        <v>452</v>
      </c>
      <c r="F86" s="4" t="s">
        <v>45</v>
      </c>
      <c r="G86" s="4" t="s">
        <v>46</v>
      </c>
      <c r="H86" s="4" t="s">
        <v>47</v>
      </c>
      <c r="I86" s="4" t="s">
        <v>126</v>
      </c>
      <c r="J86" s="4" t="s">
        <v>126</v>
      </c>
      <c r="K86" s="4" t="s">
        <v>64</v>
      </c>
      <c r="L86" s="10" t="s">
        <v>126</v>
      </c>
      <c r="M86" s="4" t="s">
        <v>126</v>
      </c>
      <c r="N86" s="4" t="s">
        <v>453</v>
      </c>
    </row>
    <row r="87" customFormat="false" ht="15" hidden="false" customHeight="false" outlineLevel="0" collapsed="false">
      <c r="A87" s="4" t="s">
        <v>454</v>
      </c>
      <c r="B87" s="4" t="s">
        <v>455</v>
      </c>
      <c r="C87" s="4" t="s">
        <v>456</v>
      </c>
      <c r="D87" s="4" t="s">
        <v>457</v>
      </c>
      <c r="E87" s="4" t="s">
        <v>458</v>
      </c>
      <c r="F87" s="4" t="s">
        <v>61</v>
      </c>
      <c r="G87" s="4" t="s">
        <v>62</v>
      </c>
      <c r="H87" s="4" t="s">
        <v>85</v>
      </c>
      <c r="I87" s="4" t="s">
        <v>63</v>
      </c>
      <c r="J87" s="4" t="s">
        <v>63</v>
      </c>
      <c r="K87" s="4" t="s">
        <v>64</v>
      </c>
      <c r="L87" s="10" t="s">
        <v>63</v>
      </c>
      <c r="M87" s="4" t="s">
        <v>63</v>
      </c>
      <c r="N87" s="4" t="s">
        <v>459</v>
      </c>
    </row>
    <row r="88" customFormat="false" ht="15" hidden="false" customHeight="false" outlineLevel="0" collapsed="false">
      <c r="A88" s="4" t="s">
        <v>460</v>
      </c>
      <c r="B88" s="4" t="s">
        <v>455</v>
      </c>
      <c r="C88" s="4" t="s">
        <v>461</v>
      </c>
      <c r="D88" s="4" t="s">
        <v>462</v>
      </c>
      <c r="E88" s="4" t="s">
        <v>463</v>
      </c>
      <c r="F88" s="4" t="s">
        <v>61</v>
      </c>
      <c r="G88" s="4" t="s">
        <v>78</v>
      </c>
      <c r="H88" s="4" t="s">
        <v>85</v>
      </c>
      <c r="I88" s="4" t="s">
        <v>126</v>
      </c>
      <c r="J88" s="4" t="s">
        <v>126</v>
      </c>
      <c r="K88" s="4" t="s">
        <v>64</v>
      </c>
      <c r="L88" s="9" t="s">
        <v>48</v>
      </c>
      <c r="M88" s="4"/>
      <c r="N88" s="4" t="s">
        <v>464</v>
      </c>
    </row>
    <row r="89" customFormat="false" ht="15" hidden="false" customHeight="false" outlineLevel="0" collapsed="false">
      <c r="A89" s="4" t="s">
        <v>465</v>
      </c>
      <c r="B89" s="4" t="s">
        <v>455</v>
      </c>
      <c r="C89" s="4" t="s">
        <v>466</v>
      </c>
      <c r="D89" s="4" t="s">
        <v>467</v>
      </c>
      <c r="E89" s="4" t="s">
        <v>468</v>
      </c>
      <c r="F89" s="4" t="s">
        <v>61</v>
      </c>
      <c r="G89" s="4" t="s">
        <v>62</v>
      </c>
      <c r="H89" s="4" t="s">
        <v>85</v>
      </c>
      <c r="I89" s="4" t="s">
        <v>63</v>
      </c>
      <c r="J89" s="4" t="s">
        <v>63</v>
      </c>
      <c r="K89" s="4" t="s">
        <v>64</v>
      </c>
      <c r="L89" s="10" t="s">
        <v>63</v>
      </c>
      <c r="M89" s="4" t="s">
        <v>63</v>
      </c>
      <c r="N89" s="4" t="s">
        <v>469</v>
      </c>
    </row>
    <row r="90" customFormat="false" ht="15" hidden="false" customHeight="false" outlineLevel="0" collapsed="false">
      <c r="A90" s="4" t="s">
        <v>470</v>
      </c>
      <c r="B90" s="4" t="s">
        <v>471</v>
      </c>
      <c r="C90" s="4" t="s">
        <v>472</v>
      </c>
      <c r="D90" s="4" t="s">
        <v>473</v>
      </c>
      <c r="E90" s="4" t="s">
        <v>474</v>
      </c>
      <c r="F90" s="4" t="s">
        <v>61</v>
      </c>
      <c r="G90" s="4" t="s">
        <v>46</v>
      </c>
      <c r="H90" s="4" t="s">
        <v>139</v>
      </c>
      <c r="I90" s="4" t="s">
        <v>126</v>
      </c>
      <c r="J90" s="4" t="s">
        <v>126</v>
      </c>
      <c r="K90" s="4" t="s">
        <v>64</v>
      </c>
      <c r="L90" s="9" t="s">
        <v>48</v>
      </c>
      <c r="M90" s="4"/>
      <c r="N90" s="4" t="s">
        <v>475</v>
      </c>
    </row>
    <row r="91" customFormat="false" ht="15" hidden="false" customHeight="false" outlineLevel="0" collapsed="false">
      <c r="A91" s="4" t="s">
        <v>476</v>
      </c>
      <c r="B91" s="4" t="s">
        <v>471</v>
      </c>
      <c r="C91" s="4" t="s">
        <v>477</v>
      </c>
      <c r="D91" s="4" t="s">
        <v>478</v>
      </c>
      <c r="E91" s="4" t="s">
        <v>479</v>
      </c>
      <c r="F91" s="4" t="s">
        <v>61</v>
      </c>
      <c r="G91" s="4" t="s">
        <v>46</v>
      </c>
      <c r="H91" s="4" t="s">
        <v>139</v>
      </c>
      <c r="I91" s="4" t="s">
        <v>126</v>
      </c>
      <c r="J91" s="4" t="s">
        <v>126</v>
      </c>
      <c r="K91" s="4" t="s">
        <v>64</v>
      </c>
      <c r="L91" s="9" t="s">
        <v>48</v>
      </c>
      <c r="M91" s="4"/>
      <c r="N91" s="4" t="s">
        <v>480</v>
      </c>
    </row>
    <row r="92" customFormat="false" ht="15" hidden="false" customHeight="false" outlineLevel="0" collapsed="false">
      <c r="A92" s="4" t="s">
        <v>481</v>
      </c>
      <c r="B92" s="4" t="s">
        <v>471</v>
      </c>
      <c r="C92" s="4" t="s">
        <v>482</v>
      </c>
      <c r="D92" s="4" t="s">
        <v>483</v>
      </c>
      <c r="E92" s="4" t="s">
        <v>484</v>
      </c>
      <c r="F92" s="4" t="s">
        <v>61</v>
      </c>
      <c r="G92" s="4" t="s">
        <v>78</v>
      </c>
      <c r="H92" s="4" t="s">
        <v>139</v>
      </c>
      <c r="I92" s="4" t="s">
        <v>48</v>
      </c>
      <c r="J92" s="4"/>
      <c r="K92" s="4" t="s">
        <v>49</v>
      </c>
      <c r="L92" s="9" t="s">
        <v>48</v>
      </c>
      <c r="M92" s="4"/>
      <c r="N92" s="4" t="s">
        <v>485</v>
      </c>
    </row>
    <row r="93" customFormat="false" ht="15" hidden="false" customHeight="false" outlineLevel="0" collapsed="false">
      <c r="A93" s="4" t="s">
        <v>486</v>
      </c>
      <c r="B93" s="4" t="s">
        <v>471</v>
      </c>
      <c r="C93" s="4" t="s">
        <v>487</v>
      </c>
      <c r="D93" s="4" t="s">
        <v>483</v>
      </c>
      <c r="E93" s="4" t="s">
        <v>484</v>
      </c>
      <c r="F93" s="4" t="s">
        <v>61</v>
      </c>
      <c r="G93" s="4" t="s">
        <v>46</v>
      </c>
      <c r="H93" s="4" t="s">
        <v>139</v>
      </c>
      <c r="I93" s="4" t="s">
        <v>48</v>
      </c>
      <c r="J93" s="4"/>
      <c r="K93" s="4" t="s">
        <v>49</v>
      </c>
      <c r="L93" s="9" t="s">
        <v>48</v>
      </c>
      <c r="M93" s="4"/>
      <c r="N93" s="4" t="s">
        <v>488</v>
      </c>
    </row>
    <row r="94" customFormat="false" ht="15" hidden="false" customHeight="false" outlineLevel="0" collapsed="false">
      <c r="A94" s="4" t="s">
        <v>489</v>
      </c>
      <c r="B94" s="4" t="s">
        <v>471</v>
      </c>
      <c r="C94" s="4" t="s">
        <v>490</v>
      </c>
      <c r="D94" s="4" t="s">
        <v>491</v>
      </c>
      <c r="E94" s="4" t="s">
        <v>492</v>
      </c>
      <c r="F94" s="4" t="s">
        <v>61</v>
      </c>
      <c r="G94" s="4" t="s">
        <v>46</v>
      </c>
      <c r="H94" s="4" t="s">
        <v>139</v>
      </c>
      <c r="I94" s="4" t="s">
        <v>126</v>
      </c>
      <c r="J94" s="4" t="s">
        <v>126</v>
      </c>
      <c r="K94" s="4" t="s">
        <v>64</v>
      </c>
      <c r="L94" s="9" t="s">
        <v>48</v>
      </c>
      <c r="M94" s="4"/>
      <c r="N94" s="4" t="s">
        <v>493</v>
      </c>
    </row>
    <row r="95" customFormat="false" ht="15" hidden="false" customHeight="false" outlineLevel="0" collapsed="false">
      <c r="A95" s="4" t="s">
        <v>494</v>
      </c>
      <c r="B95" s="4" t="s">
        <v>471</v>
      </c>
      <c r="C95" s="4" t="s">
        <v>495</v>
      </c>
      <c r="D95" s="4" t="s">
        <v>496</v>
      </c>
      <c r="E95" s="4" t="s">
        <v>497</v>
      </c>
      <c r="F95" s="4" t="s">
        <v>61</v>
      </c>
      <c r="G95" s="4" t="s">
        <v>46</v>
      </c>
      <c r="H95" s="4" t="s">
        <v>139</v>
      </c>
      <c r="I95" s="4" t="s">
        <v>48</v>
      </c>
      <c r="J95" s="4"/>
      <c r="K95" s="4" t="s">
        <v>49</v>
      </c>
      <c r="L95" s="9" t="s">
        <v>48</v>
      </c>
      <c r="M95" s="4"/>
      <c r="N95" s="4" t="s">
        <v>498</v>
      </c>
    </row>
    <row r="96" customFormat="false" ht="15" hidden="false" customHeight="false" outlineLevel="0" collapsed="false">
      <c r="A96" s="4" t="s">
        <v>499</v>
      </c>
      <c r="B96" s="4" t="s">
        <v>471</v>
      </c>
      <c r="C96" s="4" t="s">
        <v>500</v>
      </c>
      <c r="D96" s="4" t="s">
        <v>501</v>
      </c>
      <c r="E96" s="4" t="s">
        <v>502</v>
      </c>
      <c r="F96" s="4" t="s">
        <v>61</v>
      </c>
      <c r="G96" s="4" t="s">
        <v>46</v>
      </c>
      <c r="H96" s="4" t="s">
        <v>139</v>
      </c>
      <c r="I96" s="4" t="s">
        <v>126</v>
      </c>
      <c r="J96" s="4" t="s">
        <v>126</v>
      </c>
      <c r="K96" s="4" t="s">
        <v>64</v>
      </c>
      <c r="L96" s="9" t="s">
        <v>48</v>
      </c>
      <c r="M96" s="4"/>
      <c r="N96" s="4" t="s">
        <v>503</v>
      </c>
    </row>
    <row r="97" customFormat="false" ht="15" hidden="false" customHeight="false" outlineLevel="0" collapsed="false">
      <c r="A97" s="4" t="s">
        <v>504</v>
      </c>
      <c r="B97" s="4" t="s">
        <v>471</v>
      </c>
      <c r="C97" s="4" t="s">
        <v>505</v>
      </c>
      <c r="D97" s="4" t="s">
        <v>506</v>
      </c>
      <c r="E97" s="4" t="s">
        <v>507</v>
      </c>
      <c r="F97" s="4" t="s">
        <v>61</v>
      </c>
      <c r="G97" s="4" t="s">
        <v>78</v>
      </c>
      <c r="H97" s="4" t="s">
        <v>139</v>
      </c>
      <c r="I97" s="4" t="s">
        <v>48</v>
      </c>
      <c r="J97" s="4"/>
      <c r="K97" s="4" t="s">
        <v>49</v>
      </c>
      <c r="L97" s="9" t="s">
        <v>48</v>
      </c>
      <c r="M97" s="4"/>
      <c r="N97" s="4" t="s">
        <v>508</v>
      </c>
    </row>
    <row r="98" customFormat="false" ht="15" hidden="false" customHeight="false" outlineLevel="0" collapsed="false">
      <c r="A98" s="4" t="s">
        <v>509</v>
      </c>
      <c r="B98" s="4" t="s">
        <v>471</v>
      </c>
      <c r="C98" s="4" t="s">
        <v>510</v>
      </c>
      <c r="D98" s="4" t="s">
        <v>511</v>
      </c>
      <c r="E98" s="4" t="s">
        <v>512</v>
      </c>
      <c r="F98" s="4" t="s">
        <v>61</v>
      </c>
      <c r="G98" s="4" t="s">
        <v>46</v>
      </c>
      <c r="H98" s="4" t="s">
        <v>139</v>
      </c>
      <c r="I98" s="4" t="s">
        <v>48</v>
      </c>
      <c r="J98" s="4"/>
      <c r="K98" s="4" t="s">
        <v>49</v>
      </c>
      <c r="L98" s="9" t="s">
        <v>48</v>
      </c>
      <c r="M98" s="4"/>
      <c r="N98" s="4" t="s">
        <v>513</v>
      </c>
    </row>
    <row r="99" customFormat="false" ht="15" hidden="false" customHeight="false" outlineLevel="0" collapsed="false">
      <c r="A99" s="4" t="s">
        <v>514</v>
      </c>
      <c r="B99" s="4" t="s">
        <v>471</v>
      </c>
      <c r="C99" s="4" t="s">
        <v>515</v>
      </c>
      <c r="D99" s="4" t="s">
        <v>516</v>
      </c>
      <c r="E99" s="4" t="s">
        <v>517</v>
      </c>
      <c r="F99" s="4" t="s">
        <v>61</v>
      </c>
      <c r="G99" s="4" t="s">
        <v>46</v>
      </c>
      <c r="H99" s="4" t="s">
        <v>139</v>
      </c>
      <c r="I99" s="4" t="s">
        <v>126</v>
      </c>
      <c r="J99" s="4" t="s">
        <v>126</v>
      </c>
      <c r="K99" s="4" t="s">
        <v>64</v>
      </c>
      <c r="L99" s="9" t="s">
        <v>48</v>
      </c>
      <c r="M99" s="4"/>
      <c r="N99" s="4" t="s">
        <v>518</v>
      </c>
    </row>
    <row r="100" customFormat="false" ht="15" hidden="false" customHeight="false" outlineLevel="0" collapsed="false">
      <c r="A100" s="4" t="s">
        <v>519</v>
      </c>
      <c r="B100" s="4" t="s">
        <v>471</v>
      </c>
      <c r="C100" s="4" t="s">
        <v>520</v>
      </c>
      <c r="D100" s="4" t="s">
        <v>521</v>
      </c>
      <c r="E100" s="4" t="s">
        <v>522</v>
      </c>
      <c r="F100" s="4" t="s">
        <v>61</v>
      </c>
      <c r="G100" s="4" t="s">
        <v>46</v>
      </c>
      <c r="H100" s="4" t="s">
        <v>139</v>
      </c>
      <c r="I100" s="4" t="s">
        <v>48</v>
      </c>
      <c r="J100" s="4"/>
      <c r="K100" s="4" t="s">
        <v>49</v>
      </c>
      <c r="L100" s="9" t="s">
        <v>48</v>
      </c>
      <c r="M100" s="4"/>
      <c r="N100" s="4" t="s">
        <v>523</v>
      </c>
    </row>
    <row r="101" customFormat="false" ht="15" hidden="false" customHeight="false" outlineLevel="0" collapsed="false">
      <c r="A101" s="4" t="s">
        <v>524</v>
      </c>
      <c r="B101" s="4" t="s">
        <v>471</v>
      </c>
      <c r="C101" s="4" t="s">
        <v>525</v>
      </c>
      <c r="D101" s="4" t="s">
        <v>521</v>
      </c>
      <c r="E101" s="4" t="s">
        <v>522</v>
      </c>
      <c r="F101" s="4" t="s">
        <v>61</v>
      </c>
      <c r="G101" s="4" t="s">
        <v>78</v>
      </c>
      <c r="H101" s="4" t="s">
        <v>139</v>
      </c>
      <c r="I101" s="4" t="s">
        <v>48</v>
      </c>
      <c r="J101" s="4"/>
      <c r="K101" s="4" t="s">
        <v>49</v>
      </c>
      <c r="L101" s="9" t="s">
        <v>48</v>
      </c>
      <c r="M101" s="4"/>
      <c r="N101" s="4" t="s">
        <v>526</v>
      </c>
    </row>
    <row r="102" customFormat="false" ht="15" hidden="false" customHeight="false" outlineLevel="0" collapsed="false">
      <c r="A102" s="4" t="s">
        <v>527</v>
      </c>
      <c r="B102" s="4" t="s">
        <v>471</v>
      </c>
      <c r="C102" s="4" t="s">
        <v>528</v>
      </c>
      <c r="D102" s="4" t="s">
        <v>529</v>
      </c>
      <c r="E102" s="4" t="s">
        <v>530</v>
      </c>
      <c r="F102" s="4" t="s">
        <v>61</v>
      </c>
      <c r="G102" s="4" t="s">
        <v>78</v>
      </c>
      <c r="H102" s="4" t="s">
        <v>139</v>
      </c>
      <c r="I102" s="4" t="s">
        <v>126</v>
      </c>
      <c r="J102" s="4" t="s">
        <v>126</v>
      </c>
      <c r="K102" s="4" t="s">
        <v>64</v>
      </c>
      <c r="L102" s="9" t="s">
        <v>48</v>
      </c>
      <c r="M102" s="4"/>
      <c r="N102" s="4" t="s">
        <v>531</v>
      </c>
    </row>
    <row r="103" customFormat="false" ht="15" hidden="false" customHeight="false" outlineLevel="0" collapsed="false">
      <c r="A103" s="4" t="s">
        <v>532</v>
      </c>
      <c r="B103" s="4" t="s">
        <v>471</v>
      </c>
      <c r="C103" s="4" t="s">
        <v>533</v>
      </c>
      <c r="D103" s="4" t="s">
        <v>534</v>
      </c>
      <c r="E103" s="4" t="s">
        <v>535</v>
      </c>
      <c r="F103" s="4" t="s">
        <v>61</v>
      </c>
      <c r="G103" s="4" t="s">
        <v>46</v>
      </c>
      <c r="H103" s="4" t="s">
        <v>139</v>
      </c>
      <c r="I103" s="4" t="s">
        <v>126</v>
      </c>
      <c r="J103" s="4" t="s">
        <v>126</v>
      </c>
      <c r="K103" s="4" t="s">
        <v>64</v>
      </c>
      <c r="L103" s="9" t="s">
        <v>48</v>
      </c>
      <c r="M103" s="4"/>
      <c r="N103" s="4" t="s">
        <v>536</v>
      </c>
    </row>
    <row r="104" customFormat="false" ht="15" hidden="false" customHeight="false" outlineLevel="0" collapsed="false">
      <c r="A104" s="4" t="s">
        <v>537</v>
      </c>
      <c r="B104" s="4" t="s">
        <v>471</v>
      </c>
      <c r="C104" s="4" t="s">
        <v>538</v>
      </c>
      <c r="D104" s="4" t="s">
        <v>506</v>
      </c>
      <c r="E104" s="4" t="s">
        <v>507</v>
      </c>
      <c r="F104" s="4" t="s">
        <v>61</v>
      </c>
      <c r="G104" s="4" t="s">
        <v>78</v>
      </c>
      <c r="H104" s="4" t="s">
        <v>139</v>
      </c>
      <c r="I104" s="4" t="s">
        <v>48</v>
      </c>
      <c r="J104" s="4"/>
      <c r="K104" s="4" t="s">
        <v>49</v>
      </c>
      <c r="L104" s="9" t="s">
        <v>48</v>
      </c>
      <c r="M104" s="4"/>
      <c r="N104" s="4" t="s">
        <v>539</v>
      </c>
    </row>
    <row r="105" customFormat="false" ht="15" hidden="false" customHeight="false" outlineLevel="0" collapsed="false">
      <c r="A105" s="4" t="s">
        <v>540</v>
      </c>
      <c r="B105" s="4" t="s">
        <v>471</v>
      </c>
      <c r="C105" s="4" t="s">
        <v>541</v>
      </c>
      <c r="D105" s="4" t="s">
        <v>483</v>
      </c>
      <c r="E105" s="4" t="s">
        <v>484</v>
      </c>
      <c r="F105" s="4" t="s">
        <v>61</v>
      </c>
      <c r="G105" s="4" t="s">
        <v>46</v>
      </c>
      <c r="H105" s="4" t="s">
        <v>139</v>
      </c>
      <c r="I105" s="4" t="s">
        <v>48</v>
      </c>
      <c r="J105" s="4"/>
      <c r="K105" s="4" t="s">
        <v>49</v>
      </c>
      <c r="L105" s="9" t="s">
        <v>48</v>
      </c>
      <c r="M105" s="4"/>
      <c r="N105" s="4" t="s">
        <v>542</v>
      </c>
    </row>
    <row r="106" customFormat="false" ht="15" hidden="false" customHeight="false" outlineLevel="0" collapsed="false">
      <c r="A106" s="4" t="s">
        <v>543</v>
      </c>
      <c r="B106" s="4" t="s">
        <v>471</v>
      </c>
      <c r="C106" s="4" t="s">
        <v>544</v>
      </c>
      <c r="D106" s="4" t="s">
        <v>529</v>
      </c>
      <c r="E106" s="4" t="s">
        <v>530</v>
      </c>
      <c r="F106" s="4" t="s">
        <v>61</v>
      </c>
      <c r="G106" s="4" t="s">
        <v>78</v>
      </c>
      <c r="H106" s="4" t="s">
        <v>139</v>
      </c>
      <c r="I106" s="4" t="s">
        <v>126</v>
      </c>
      <c r="J106" s="4" t="s">
        <v>126</v>
      </c>
      <c r="K106" s="4" t="s">
        <v>64</v>
      </c>
      <c r="L106" s="9" t="s">
        <v>48</v>
      </c>
      <c r="M106" s="4"/>
      <c r="N106" s="4" t="s">
        <v>545</v>
      </c>
    </row>
    <row r="107" customFormat="false" ht="15" hidden="false" customHeight="false" outlineLevel="0" collapsed="false">
      <c r="A107" s="4" t="s">
        <v>546</v>
      </c>
      <c r="B107" s="4" t="s">
        <v>471</v>
      </c>
      <c r="C107" s="4" t="s">
        <v>547</v>
      </c>
      <c r="D107" s="4" t="s">
        <v>491</v>
      </c>
      <c r="E107" s="4" t="s">
        <v>492</v>
      </c>
      <c r="F107" s="4" t="s">
        <v>61</v>
      </c>
      <c r="G107" s="4" t="s">
        <v>46</v>
      </c>
      <c r="H107" s="4" t="s">
        <v>139</v>
      </c>
      <c r="I107" s="4" t="s">
        <v>126</v>
      </c>
      <c r="J107" s="4" t="s">
        <v>126</v>
      </c>
      <c r="K107" s="4" t="s">
        <v>64</v>
      </c>
      <c r="L107" s="9" t="s">
        <v>48</v>
      </c>
      <c r="M107" s="4"/>
      <c r="N107" s="4" t="s">
        <v>548</v>
      </c>
    </row>
    <row r="108" customFormat="false" ht="15" hidden="false" customHeight="false" outlineLevel="0" collapsed="false">
      <c r="A108" s="4" t="s">
        <v>549</v>
      </c>
      <c r="B108" s="4" t="s">
        <v>471</v>
      </c>
      <c r="C108" s="4" t="s">
        <v>550</v>
      </c>
      <c r="D108" s="4" t="s">
        <v>534</v>
      </c>
      <c r="E108" s="4" t="s">
        <v>535</v>
      </c>
      <c r="F108" s="4" t="s">
        <v>61</v>
      </c>
      <c r="G108" s="4" t="s">
        <v>46</v>
      </c>
      <c r="H108" s="4" t="s">
        <v>139</v>
      </c>
      <c r="I108" s="4" t="s">
        <v>126</v>
      </c>
      <c r="J108" s="4" t="s">
        <v>126</v>
      </c>
      <c r="K108" s="4" t="s">
        <v>64</v>
      </c>
      <c r="L108" s="9" t="s">
        <v>48</v>
      </c>
      <c r="M108" s="4"/>
      <c r="N108" s="4" t="s">
        <v>551</v>
      </c>
    </row>
    <row r="109" customFormat="false" ht="15" hidden="false" customHeight="false" outlineLevel="0" collapsed="false">
      <c r="A109" s="4" t="s">
        <v>552</v>
      </c>
      <c r="B109" s="4" t="s">
        <v>471</v>
      </c>
      <c r="C109" s="4" t="s">
        <v>553</v>
      </c>
      <c r="D109" s="4" t="s">
        <v>534</v>
      </c>
      <c r="E109" s="4" t="s">
        <v>535</v>
      </c>
      <c r="F109" s="4" t="s">
        <v>61</v>
      </c>
      <c r="G109" s="4" t="s">
        <v>46</v>
      </c>
      <c r="H109" s="4" t="s">
        <v>139</v>
      </c>
      <c r="I109" s="4" t="s">
        <v>126</v>
      </c>
      <c r="J109" s="4" t="s">
        <v>126</v>
      </c>
      <c r="K109" s="4" t="s">
        <v>64</v>
      </c>
      <c r="L109" s="9" t="s">
        <v>48</v>
      </c>
      <c r="M109" s="4"/>
      <c r="N109" s="4" t="s">
        <v>554</v>
      </c>
    </row>
    <row r="110" customFormat="false" ht="15" hidden="false" customHeight="false" outlineLevel="0" collapsed="false">
      <c r="A110" s="4" t="s">
        <v>555</v>
      </c>
      <c r="B110" s="4" t="s">
        <v>471</v>
      </c>
      <c r="C110" s="4" t="s">
        <v>556</v>
      </c>
      <c r="D110" s="4" t="s">
        <v>483</v>
      </c>
      <c r="E110" s="4" t="s">
        <v>484</v>
      </c>
      <c r="F110" s="4" t="s">
        <v>61</v>
      </c>
      <c r="G110" s="4" t="s">
        <v>46</v>
      </c>
      <c r="H110" s="4" t="s">
        <v>139</v>
      </c>
      <c r="I110" s="4" t="s">
        <v>48</v>
      </c>
      <c r="J110" s="4"/>
      <c r="K110" s="4" t="s">
        <v>49</v>
      </c>
      <c r="L110" s="9" t="s">
        <v>48</v>
      </c>
      <c r="M110" s="4"/>
      <c r="N110" s="4" t="s">
        <v>557</v>
      </c>
    </row>
    <row r="111" customFormat="false" ht="15" hidden="false" customHeight="false" outlineLevel="0" collapsed="false">
      <c r="A111" s="4" t="s">
        <v>558</v>
      </c>
      <c r="B111" s="4" t="s">
        <v>471</v>
      </c>
      <c r="C111" s="4" t="s">
        <v>559</v>
      </c>
      <c r="D111" s="4" t="s">
        <v>560</v>
      </c>
      <c r="E111" s="4" t="s">
        <v>561</v>
      </c>
      <c r="F111" s="4" t="s">
        <v>61</v>
      </c>
      <c r="G111" s="4" t="s">
        <v>78</v>
      </c>
      <c r="H111" s="4" t="s">
        <v>139</v>
      </c>
      <c r="I111" s="4" t="s">
        <v>126</v>
      </c>
      <c r="J111" s="4" t="s">
        <v>126</v>
      </c>
      <c r="K111" s="4" t="s">
        <v>64</v>
      </c>
      <c r="L111" s="9" t="s">
        <v>48</v>
      </c>
      <c r="M111" s="4"/>
      <c r="N111" s="4" t="s">
        <v>562</v>
      </c>
    </row>
    <row r="112" customFormat="false" ht="15" hidden="false" customHeight="false" outlineLevel="0" collapsed="false">
      <c r="A112" s="4" t="s">
        <v>563</v>
      </c>
      <c r="B112" s="4" t="s">
        <v>471</v>
      </c>
      <c r="C112" s="4" t="s">
        <v>564</v>
      </c>
      <c r="D112" s="4" t="s">
        <v>565</v>
      </c>
      <c r="E112" s="4" t="s">
        <v>566</v>
      </c>
      <c r="F112" s="4" t="s">
        <v>61</v>
      </c>
      <c r="G112" s="4" t="s">
        <v>46</v>
      </c>
      <c r="H112" s="4" t="s">
        <v>139</v>
      </c>
      <c r="I112" s="4" t="s">
        <v>126</v>
      </c>
      <c r="J112" s="4" t="s">
        <v>126</v>
      </c>
      <c r="K112" s="4" t="s">
        <v>64</v>
      </c>
      <c r="L112" s="9" t="s">
        <v>48</v>
      </c>
      <c r="M112" s="4"/>
      <c r="N112" s="4" t="s">
        <v>567</v>
      </c>
    </row>
    <row r="113" customFormat="false" ht="15" hidden="false" customHeight="false" outlineLevel="0" collapsed="false">
      <c r="A113" s="4" t="s">
        <v>568</v>
      </c>
      <c r="B113" s="4" t="s">
        <v>471</v>
      </c>
      <c r="C113" s="4" t="s">
        <v>569</v>
      </c>
      <c r="D113" s="4" t="s">
        <v>521</v>
      </c>
      <c r="E113" s="4" t="s">
        <v>522</v>
      </c>
      <c r="F113" s="4" t="s">
        <v>61</v>
      </c>
      <c r="G113" s="4" t="s">
        <v>46</v>
      </c>
      <c r="H113" s="4" t="s">
        <v>139</v>
      </c>
      <c r="I113" s="4" t="s">
        <v>48</v>
      </c>
      <c r="J113" s="4"/>
      <c r="K113" s="4" t="s">
        <v>49</v>
      </c>
      <c r="L113" s="9" t="s">
        <v>48</v>
      </c>
      <c r="M113" s="4"/>
      <c r="N113" s="4" t="s">
        <v>570</v>
      </c>
    </row>
    <row r="114" customFormat="false" ht="15" hidden="false" customHeight="false" outlineLevel="0" collapsed="false">
      <c r="A114" s="4" t="s">
        <v>571</v>
      </c>
      <c r="B114" s="4" t="s">
        <v>471</v>
      </c>
      <c r="C114" s="4" t="s">
        <v>572</v>
      </c>
      <c r="D114" s="4" t="s">
        <v>573</v>
      </c>
      <c r="E114" s="4" t="s">
        <v>574</v>
      </c>
      <c r="F114" s="4" t="s">
        <v>61</v>
      </c>
      <c r="G114" s="4" t="s">
        <v>46</v>
      </c>
      <c r="H114" s="4" t="s">
        <v>139</v>
      </c>
      <c r="I114" s="4" t="s">
        <v>48</v>
      </c>
      <c r="J114" s="4"/>
      <c r="K114" s="4" t="s">
        <v>49</v>
      </c>
      <c r="L114" s="9" t="s">
        <v>48</v>
      </c>
      <c r="M114" s="4"/>
      <c r="N114" s="4" t="s">
        <v>575</v>
      </c>
    </row>
    <row r="115" customFormat="false" ht="15" hidden="false" customHeight="false" outlineLevel="0" collapsed="false">
      <c r="A115" s="4" t="s">
        <v>576</v>
      </c>
      <c r="B115" s="4" t="s">
        <v>471</v>
      </c>
      <c r="C115" s="4" t="s">
        <v>577</v>
      </c>
      <c r="D115" s="4" t="s">
        <v>578</v>
      </c>
      <c r="E115" s="4" t="s">
        <v>579</v>
      </c>
      <c r="F115" s="4" t="s">
        <v>61</v>
      </c>
      <c r="G115" s="4" t="s">
        <v>78</v>
      </c>
      <c r="H115" s="4" t="s">
        <v>139</v>
      </c>
      <c r="I115" s="4" t="s">
        <v>126</v>
      </c>
      <c r="J115" s="4" t="s">
        <v>126</v>
      </c>
      <c r="K115" s="4" t="s">
        <v>64</v>
      </c>
      <c r="L115" s="9" t="s">
        <v>48</v>
      </c>
      <c r="M115" s="4"/>
      <c r="N115" s="4" t="s">
        <v>580</v>
      </c>
    </row>
    <row r="116" customFormat="false" ht="15" hidden="false" customHeight="false" outlineLevel="0" collapsed="false">
      <c r="A116" s="4" t="s">
        <v>581</v>
      </c>
      <c r="B116" s="4" t="s">
        <v>471</v>
      </c>
      <c r="C116" s="4" t="s">
        <v>582</v>
      </c>
      <c r="D116" s="4" t="s">
        <v>583</v>
      </c>
      <c r="E116" s="4" t="s">
        <v>584</v>
      </c>
      <c r="F116" s="4" t="s">
        <v>61</v>
      </c>
      <c r="G116" s="4" t="s">
        <v>46</v>
      </c>
      <c r="H116" s="4" t="s">
        <v>139</v>
      </c>
      <c r="I116" s="4" t="s">
        <v>126</v>
      </c>
      <c r="J116" s="4" t="s">
        <v>126</v>
      </c>
      <c r="K116" s="4" t="s">
        <v>64</v>
      </c>
      <c r="L116" s="9" t="s">
        <v>48</v>
      </c>
      <c r="M116" s="4"/>
      <c r="N116" s="4" t="s">
        <v>585</v>
      </c>
    </row>
    <row r="117" customFormat="false" ht="15" hidden="false" customHeight="false" outlineLevel="0" collapsed="false">
      <c r="A117" s="4" t="s">
        <v>586</v>
      </c>
      <c r="B117" s="4" t="s">
        <v>471</v>
      </c>
      <c r="C117" s="4" t="s">
        <v>587</v>
      </c>
      <c r="D117" s="4" t="s">
        <v>521</v>
      </c>
      <c r="E117" s="4" t="s">
        <v>522</v>
      </c>
      <c r="F117" s="4" t="s">
        <v>61</v>
      </c>
      <c r="G117" s="4" t="s">
        <v>46</v>
      </c>
      <c r="H117" s="4" t="s">
        <v>139</v>
      </c>
      <c r="I117" s="4" t="s">
        <v>48</v>
      </c>
      <c r="J117" s="4"/>
      <c r="K117" s="4" t="s">
        <v>49</v>
      </c>
      <c r="L117" s="9" t="s">
        <v>48</v>
      </c>
      <c r="M117" s="4"/>
      <c r="N117" s="4" t="s">
        <v>588</v>
      </c>
    </row>
    <row r="118" customFormat="false" ht="15" hidden="false" customHeight="false" outlineLevel="0" collapsed="false">
      <c r="A118" s="4" t="s">
        <v>589</v>
      </c>
      <c r="B118" s="4" t="s">
        <v>471</v>
      </c>
      <c r="C118" s="4" t="s">
        <v>590</v>
      </c>
      <c r="D118" s="4" t="s">
        <v>591</v>
      </c>
      <c r="E118" s="4" t="s">
        <v>592</v>
      </c>
      <c r="F118" s="4" t="s">
        <v>61</v>
      </c>
      <c r="G118" s="4" t="s">
        <v>46</v>
      </c>
      <c r="H118" s="4" t="s">
        <v>139</v>
      </c>
      <c r="I118" s="4" t="s">
        <v>48</v>
      </c>
      <c r="J118" s="4"/>
      <c r="K118" s="4" t="s">
        <v>49</v>
      </c>
      <c r="L118" s="9" t="s">
        <v>48</v>
      </c>
      <c r="M118" s="4"/>
      <c r="N118" s="4" t="s">
        <v>593</v>
      </c>
    </row>
    <row r="119" customFormat="false" ht="15" hidden="false" customHeight="false" outlineLevel="0" collapsed="false">
      <c r="A119" s="4" t="s">
        <v>594</v>
      </c>
      <c r="B119" s="4" t="s">
        <v>471</v>
      </c>
      <c r="C119" s="4" t="s">
        <v>595</v>
      </c>
      <c r="D119" s="4" t="s">
        <v>529</v>
      </c>
      <c r="E119" s="4" t="s">
        <v>530</v>
      </c>
      <c r="F119" s="4" t="s">
        <v>61</v>
      </c>
      <c r="G119" s="4" t="s">
        <v>46</v>
      </c>
      <c r="H119" s="4" t="s">
        <v>139</v>
      </c>
      <c r="I119" s="4" t="s">
        <v>126</v>
      </c>
      <c r="J119" s="4" t="s">
        <v>126</v>
      </c>
      <c r="K119" s="4" t="s">
        <v>64</v>
      </c>
      <c r="L119" s="9" t="s">
        <v>48</v>
      </c>
      <c r="M119" s="4"/>
      <c r="N119" s="4" t="s">
        <v>596</v>
      </c>
    </row>
    <row r="120" customFormat="false" ht="15" hidden="false" customHeight="false" outlineLevel="0" collapsed="false">
      <c r="A120" s="4" t="s">
        <v>597</v>
      </c>
      <c r="B120" s="4" t="s">
        <v>471</v>
      </c>
      <c r="C120" s="4" t="s">
        <v>598</v>
      </c>
      <c r="D120" s="4" t="s">
        <v>521</v>
      </c>
      <c r="E120" s="4" t="s">
        <v>522</v>
      </c>
      <c r="F120" s="4" t="s">
        <v>61</v>
      </c>
      <c r="G120" s="4" t="s">
        <v>46</v>
      </c>
      <c r="H120" s="4" t="s">
        <v>139</v>
      </c>
      <c r="I120" s="4" t="s">
        <v>48</v>
      </c>
      <c r="J120" s="4"/>
      <c r="K120" s="4" t="s">
        <v>49</v>
      </c>
      <c r="L120" s="9" t="s">
        <v>48</v>
      </c>
      <c r="M120" s="4"/>
      <c r="N120" s="4" t="s">
        <v>599</v>
      </c>
    </row>
    <row r="121" customFormat="false" ht="15" hidden="false" customHeight="false" outlineLevel="0" collapsed="false">
      <c r="A121" s="4" t="s">
        <v>600</v>
      </c>
      <c r="B121" s="4" t="s">
        <v>471</v>
      </c>
      <c r="C121" s="4" t="s">
        <v>601</v>
      </c>
      <c r="D121" s="4" t="s">
        <v>602</v>
      </c>
      <c r="E121" s="4" t="s">
        <v>603</v>
      </c>
      <c r="F121" s="4" t="s">
        <v>61</v>
      </c>
      <c r="G121" s="4" t="s">
        <v>46</v>
      </c>
      <c r="H121" s="4" t="s">
        <v>139</v>
      </c>
      <c r="I121" s="4" t="s">
        <v>48</v>
      </c>
      <c r="J121" s="4"/>
      <c r="K121" s="4" t="s">
        <v>49</v>
      </c>
      <c r="L121" s="9" t="s">
        <v>48</v>
      </c>
      <c r="M121" s="4"/>
      <c r="N121" s="4" t="s">
        <v>604</v>
      </c>
    </row>
    <row r="122" customFormat="false" ht="15" hidden="false" customHeight="false" outlineLevel="0" collapsed="false">
      <c r="A122" s="4" t="s">
        <v>605</v>
      </c>
      <c r="B122" s="4" t="s">
        <v>471</v>
      </c>
      <c r="C122" s="4" t="s">
        <v>606</v>
      </c>
      <c r="D122" s="4" t="s">
        <v>511</v>
      </c>
      <c r="E122" s="4" t="s">
        <v>512</v>
      </c>
      <c r="F122" s="4" t="s">
        <v>61</v>
      </c>
      <c r="G122" s="4" t="s">
        <v>46</v>
      </c>
      <c r="H122" s="4" t="s">
        <v>139</v>
      </c>
      <c r="I122" s="4" t="s">
        <v>48</v>
      </c>
      <c r="J122" s="4"/>
      <c r="K122" s="4" t="s">
        <v>49</v>
      </c>
      <c r="L122" s="9" t="s">
        <v>48</v>
      </c>
      <c r="M122" s="4"/>
      <c r="N122" s="4" t="s">
        <v>607</v>
      </c>
    </row>
    <row r="123" customFormat="false" ht="15" hidden="false" customHeight="false" outlineLevel="0" collapsed="false">
      <c r="A123" s="4" t="s">
        <v>608</v>
      </c>
      <c r="B123" s="4" t="s">
        <v>471</v>
      </c>
      <c r="C123" s="4" t="s">
        <v>609</v>
      </c>
      <c r="D123" s="4" t="s">
        <v>573</v>
      </c>
      <c r="E123" s="4" t="s">
        <v>574</v>
      </c>
      <c r="F123" s="4" t="s">
        <v>61</v>
      </c>
      <c r="G123" s="4" t="s">
        <v>46</v>
      </c>
      <c r="H123" s="4" t="s">
        <v>139</v>
      </c>
      <c r="I123" s="4" t="s">
        <v>48</v>
      </c>
      <c r="J123" s="4"/>
      <c r="K123" s="4" t="s">
        <v>49</v>
      </c>
      <c r="L123" s="9" t="s">
        <v>48</v>
      </c>
      <c r="M123" s="4"/>
      <c r="N123" s="4" t="s">
        <v>610</v>
      </c>
    </row>
    <row r="124" customFormat="false" ht="15" hidden="false" customHeight="false" outlineLevel="0" collapsed="false">
      <c r="A124" s="4" t="s">
        <v>611</v>
      </c>
      <c r="B124" s="4" t="s">
        <v>471</v>
      </c>
      <c r="C124" s="4" t="s">
        <v>612</v>
      </c>
      <c r="D124" s="4" t="s">
        <v>613</v>
      </c>
      <c r="E124" s="4" t="s">
        <v>614</v>
      </c>
      <c r="F124" s="4" t="s">
        <v>61</v>
      </c>
      <c r="G124" s="4" t="s">
        <v>46</v>
      </c>
      <c r="H124" s="4" t="s">
        <v>139</v>
      </c>
      <c r="I124" s="4" t="s">
        <v>126</v>
      </c>
      <c r="J124" s="4" t="s">
        <v>126</v>
      </c>
      <c r="K124" s="4" t="s">
        <v>64</v>
      </c>
      <c r="L124" s="9" t="s">
        <v>48</v>
      </c>
      <c r="M124" s="4"/>
      <c r="N124" s="4" t="s">
        <v>615</v>
      </c>
    </row>
    <row r="125" customFormat="false" ht="15" hidden="false" customHeight="false" outlineLevel="0" collapsed="false">
      <c r="A125" s="4" t="s">
        <v>616</v>
      </c>
      <c r="B125" s="4" t="s">
        <v>471</v>
      </c>
      <c r="C125" s="4" t="s">
        <v>617</v>
      </c>
      <c r="D125" s="4" t="s">
        <v>483</v>
      </c>
      <c r="E125" s="4" t="s">
        <v>484</v>
      </c>
      <c r="F125" s="4" t="s">
        <v>61</v>
      </c>
      <c r="G125" s="4" t="s">
        <v>46</v>
      </c>
      <c r="H125" s="4" t="s">
        <v>139</v>
      </c>
      <c r="I125" s="4" t="s">
        <v>48</v>
      </c>
      <c r="J125" s="4"/>
      <c r="K125" s="4" t="s">
        <v>49</v>
      </c>
      <c r="L125" s="9" t="s">
        <v>48</v>
      </c>
      <c r="M125" s="4"/>
      <c r="N125" s="4" t="s">
        <v>618</v>
      </c>
    </row>
    <row r="126" customFormat="false" ht="15" hidden="false" customHeight="false" outlineLevel="0" collapsed="false">
      <c r="A126" s="4" t="s">
        <v>619</v>
      </c>
      <c r="B126" s="4" t="s">
        <v>471</v>
      </c>
      <c r="C126" s="4" t="s">
        <v>620</v>
      </c>
      <c r="D126" s="4" t="s">
        <v>621</v>
      </c>
      <c r="E126" s="4" t="s">
        <v>622</v>
      </c>
      <c r="F126" s="4" t="s">
        <v>61</v>
      </c>
      <c r="G126" s="4" t="s">
        <v>46</v>
      </c>
      <c r="H126" s="4" t="s">
        <v>139</v>
      </c>
      <c r="I126" s="4" t="s">
        <v>48</v>
      </c>
      <c r="J126" s="4"/>
      <c r="K126" s="4" t="s">
        <v>49</v>
      </c>
      <c r="L126" s="9" t="s">
        <v>48</v>
      </c>
      <c r="M126" s="4"/>
      <c r="N126" s="4" t="s">
        <v>623</v>
      </c>
    </row>
    <row r="127" customFormat="false" ht="15" hidden="false" customHeight="false" outlineLevel="0" collapsed="false">
      <c r="A127" s="4" t="s">
        <v>624</v>
      </c>
      <c r="B127" s="4" t="s">
        <v>471</v>
      </c>
      <c r="C127" s="4" t="s">
        <v>625</v>
      </c>
      <c r="D127" s="4" t="s">
        <v>626</v>
      </c>
      <c r="E127" s="4" t="s">
        <v>627</v>
      </c>
      <c r="F127" s="4" t="s">
        <v>61</v>
      </c>
      <c r="G127" s="4" t="s">
        <v>46</v>
      </c>
      <c r="H127" s="4" t="s">
        <v>139</v>
      </c>
      <c r="I127" s="4" t="s">
        <v>48</v>
      </c>
      <c r="J127" s="4"/>
      <c r="K127" s="4" t="s">
        <v>49</v>
      </c>
      <c r="L127" s="9" t="s">
        <v>48</v>
      </c>
      <c r="M127" s="4"/>
      <c r="N127" s="4" t="s">
        <v>628</v>
      </c>
    </row>
    <row r="128" customFormat="false" ht="15" hidden="false" customHeight="false" outlineLevel="0" collapsed="false">
      <c r="A128" s="4" t="s">
        <v>629</v>
      </c>
      <c r="B128" s="4" t="s">
        <v>471</v>
      </c>
      <c r="C128" s="4" t="s">
        <v>625</v>
      </c>
      <c r="D128" s="4" t="s">
        <v>483</v>
      </c>
      <c r="E128" s="4" t="s">
        <v>484</v>
      </c>
      <c r="F128" s="4" t="s">
        <v>61</v>
      </c>
      <c r="G128" s="4" t="s">
        <v>46</v>
      </c>
      <c r="H128" s="4" t="s">
        <v>139</v>
      </c>
      <c r="I128" s="4" t="s">
        <v>48</v>
      </c>
      <c r="J128" s="4"/>
      <c r="K128" s="4" t="s">
        <v>49</v>
      </c>
      <c r="L128" s="9" t="s">
        <v>48</v>
      </c>
      <c r="M128" s="4"/>
      <c r="N128" s="4" t="s">
        <v>628</v>
      </c>
    </row>
    <row r="129" customFormat="false" ht="15" hidden="false" customHeight="false" outlineLevel="0" collapsed="false">
      <c r="A129" s="4" t="s">
        <v>630</v>
      </c>
      <c r="B129" s="4" t="s">
        <v>471</v>
      </c>
      <c r="C129" s="4" t="s">
        <v>625</v>
      </c>
      <c r="D129" s="4" t="s">
        <v>573</v>
      </c>
      <c r="E129" s="4" t="s">
        <v>574</v>
      </c>
      <c r="F129" s="4" t="s">
        <v>61</v>
      </c>
      <c r="G129" s="4" t="s">
        <v>46</v>
      </c>
      <c r="H129" s="4" t="s">
        <v>139</v>
      </c>
      <c r="I129" s="4" t="s">
        <v>48</v>
      </c>
      <c r="J129" s="4"/>
      <c r="K129" s="4" t="s">
        <v>49</v>
      </c>
      <c r="L129" s="9" t="s">
        <v>48</v>
      </c>
      <c r="M129" s="4"/>
      <c r="N129" s="4" t="s">
        <v>628</v>
      </c>
    </row>
    <row r="130" customFormat="false" ht="15" hidden="false" customHeight="false" outlineLevel="0" collapsed="false">
      <c r="A130" s="4" t="s">
        <v>631</v>
      </c>
      <c r="B130" s="4" t="s">
        <v>471</v>
      </c>
      <c r="C130" s="4" t="s">
        <v>632</v>
      </c>
      <c r="D130" s="4" t="s">
        <v>633</v>
      </c>
      <c r="E130" s="4" t="s">
        <v>634</v>
      </c>
      <c r="F130" s="4" t="s">
        <v>61</v>
      </c>
      <c r="G130" s="4" t="s">
        <v>46</v>
      </c>
      <c r="H130" s="4" t="s">
        <v>139</v>
      </c>
      <c r="I130" s="4" t="s">
        <v>48</v>
      </c>
      <c r="J130" s="4"/>
      <c r="K130" s="4" t="s">
        <v>49</v>
      </c>
      <c r="L130" s="9" t="s">
        <v>48</v>
      </c>
      <c r="M130" s="4"/>
      <c r="N130" s="4" t="s">
        <v>635</v>
      </c>
    </row>
    <row r="131" customFormat="false" ht="15" hidden="false" customHeight="false" outlineLevel="0" collapsed="false">
      <c r="A131" s="4" t="s">
        <v>636</v>
      </c>
      <c r="B131" s="4" t="s">
        <v>471</v>
      </c>
      <c r="C131" s="4" t="s">
        <v>637</v>
      </c>
      <c r="D131" s="4" t="s">
        <v>638</v>
      </c>
      <c r="E131" s="4" t="s">
        <v>639</v>
      </c>
      <c r="F131" s="4" t="s">
        <v>61</v>
      </c>
      <c r="G131" s="4" t="s">
        <v>78</v>
      </c>
      <c r="H131" s="4" t="s">
        <v>139</v>
      </c>
      <c r="I131" s="4" t="s">
        <v>126</v>
      </c>
      <c r="J131" s="4" t="s">
        <v>126</v>
      </c>
      <c r="K131" s="4" t="s">
        <v>64</v>
      </c>
      <c r="L131" s="9" t="s">
        <v>48</v>
      </c>
      <c r="M131" s="4"/>
      <c r="N131" s="4" t="s">
        <v>640</v>
      </c>
    </row>
    <row r="132" customFormat="false" ht="15" hidden="false" customHeight="false" outlineLevel="0" collapsed="false">
      <c r="A132" s="4" t="s">
        <v>641</v>
      </c>
      <c r="B132" s="4" t="s">
        <v>471</v>
      </c>
      <c r="C132" s="4" t="s">
        <v>642</v>
      </c>
      <c r="D132" s="4" t="s">
        <v>643</v>
      </c>
      <c r="E132" s="4" t="s">
        <v>644</v>
      </c>
      <c r="F132" s="4" t="s">
        <v>61</v>
      </c>
      <c r="G132" s="4" t="s">
        <v>46</v>
      </c>
      <c r="H132" s="4" t="s">
        <v>139</v>
      </c>
      <c r="I132" s="4" t="s">
        <v>126</v>
      </c>
      <c r="J132" s="4" t="s">
        <v>126</v>
      </c>
      <c r="K132" s="4" t="s">
        <v>64</v>
      </c>
      <c r="L132" s="9" t="s">
        <v>48</v>
      </c>
      <c r="M132" s="4"/>
      <c r="N132" s="4" t="s">
        <v>645</v>
      </c>
    </row>
    <row r="133" customFormat="false" ht="15" hidden="false" customHeight="false" outlineLevel="0" collapsed="false">
      <c r="A133" s="4" t="s">
        <v>646</v>
      </c>
      <c r="B133" s="4" t="s">
        <v>471</v>
      </c>
      <c r="C133" s="4" t="s">
        <v>647</v>
      </c>
      <c r="D133" s="4" t="s">
        <v>583</v>
      </c>
      <c r="E133" s="4" t="s">
        <v>584</v>
      </c>
      <c r="F133" s="4" t="s">
        <v>61</v>
      </c>
      <c r="G133" s="4" t="s">
        <v>46</v>
      </c>
      <c r="H133" s="4" t="s">
        <v>139</v>
      </c>
      <c r="I133" s="4" t="s">
        <v>126</v>
      </c>
      <c r="J133" s="4" t="s">
        <v>126</v>
      </c>
      <c r="K133" s="4" t="s">
        <v>64</v>
      </c>
      <c r="L133" s="9" t="s">
        <v>48</v>
      </c>
      <c r="M133" s="4"/>
      <c r="N133" s="4" t="s">
        <v>648</v>
      </c>
    </row>
    <row r="134" customFormat="false" ht="15" hidden="false" customHeight="false" outlineLevel="0" collapsed="false">
      <c r="A134" s="4" t="s">
        <v>649</v>
      </c>
      <c r="B134" s="4" t="s">
        <v>471</v>
      </c>
      <c r="C134" s="4" t="s">
        <v>650</v>
      </c>
      <c r="D134" s="4" t="s">
        <v>521</v>
      </c>
      <c r="E134" s="4" t="s">
        <v>522</v>
      </c>
      <c r="F134" s="4" t="s">
        <v>61</v>
      </c>
      <c r="G134" s="4" t="s">
        <v>46</v>
      </c>
      <c r="H134" s="4" t="s">
        <v>139</v>
      </c>
      <c r="I134" s="4" t="s">
        <v>48</v>
      </c>
      <c r="J134" s="4"/>
      <c r="K134" s="4" t="s">
        <v>49</v>
      </c>
      <c r="L134" s="9" t="s">
        <v>48</v>
      </c>
      <c r="M134" s="4"/>
      <c r="N134" s="4" t="s">
        <v>651</v>
      </c>
    </row>
    <row r="135" customFormat="false" ht="15" hidden="false" customHeight="false" outlineLevel="0" collapsed="false">
      <c r="A135" s="4" t="s">
        <v>652</v>
      </c>
      <c r="B135" s="4" t="s">
        <v>471</v>
      </c>
      <c r="C135" s="4" t="s">
        <v>653</v>
      </c>
      <c r="D135" s="4" t="s">
        <v>602</v>
      </c>
      <c r="E135" s="4" t="s">
        <v>603</v>
      </c>
      <c r="F135" s="4" t="s">
        <v>61</v>
      </c>
      <c r="G135" s="4" t="s">
        <v>78</v>
      </c>
      <c r="H135" s="4" t="s">
        <v>139</v>
      </c>
      <c r="I135" s="4" t="s">
        <v>48</v>
      </c>
      <c r="J135" s="4"/>
      <c r="K135" s="4" t="s">
        <v>49</v>
      </c>
      <c r="L135" s="9" t="s">
        <v>48</v>
      </c>
      <c r="M135" s="4"/>
      <c r="N135" s="4" t="s">
        <v>654</v>
      </c>
    </row>
    <row r="136" customFormat="false" ht="15" hidden="false" customHeight="false" outlineLevel="0" collapsed="false">
      <c r="A136" s="4" t="s">
        <v>655</v>
      </c>
      <c r="B136" s="4" t="s">
        <v>471</v>
      </c>
      <c r="C136" s="4" t="s">
        <v>653</v>
      </c>
      <c r="D136" s="4" t="s">
        <v>656</v>
      </c>
      <c r="E136" s="4" t="s">
        <v>657</v>
      </c>
      <c r="F136" s="4" t="s">
        <v>61</v>
      </c>
      <c r="G136" s="4" t="s">
        <v>78</v>
      </c>
      <c r="H136" s="4" t="s">
        <v>139</v>
      </c>
      <c r="I136" s="4" t="s">
        <v>126</v>
      </c>
      <c r="J136" s="4" t="s">
        <v>126</v>
      </c>
      <c r="K136" s="4" t="s">
        <v>64</v>
      </c>
      <c r="L136" s="9" t="s">
        <v>48</v>
      </c>
      <c r="M136" s="4"/>
      <c r="N136" s="4" t="s">
        <v>654</v>
      </c>
    </row>
    <row r="137" customFormat="false" ht="15" hidden="false" customHeight="false" outlineLevel="0" collapsed="false">
      <c r="A137" s="4" t="s">
        <v>658</v>
      </c>
      <c r="B137" s="4" t="s">
        <v>471</v>
      </c>
      <c r="C137" s="4" t="s">
        <v>653</v>
      </c>
      <c r="D137" s="4" t="s">
        <v>583</v>
      </c>
      <c r="E137" s="4" t="s">
        <v>584</v>
      </c>
      <c r="F137" s="4" t="s">
        <v>61</v>
      </c>
      <c r="G137" s="4" t="s">
        <v>78</v>
      </c>
      <c r="H137" s="4" t="s">
        <v>139</v>
      </c>
      <c r="I137" s="4" t="s">
        <v>126</v>
      </c>
      <c r="J137" s="4" t="s">
        <v>126</v>
      </c>
      <c r="K137" s="4" t="s">
        <v>64</v>
      </c>
      <c r="L137" s="9" t="s">
        <v>48</v>
      </c>
      <c r="M137" s="4"/>
      <c r="N137" s="4" t="s">
        <v>654</v>
      </c>
    </row>
    <row r="138" customFormat="false" ht="15" hidden="false" customHeight="false" outlineLevel="0" collapsed="false">
      <c r="A138" s="4" t="s">
        <v>659</v>
      </c>
      <c r="B138" s="4" t="s">
        <v>471</v>
      </c>
      <c r="C138" s="4" t="s">
        <v>653</v>
      </c>
      <c r="D138" s="4" t="s">
        <v>643</v>
      </c>
      <c r="E138" s="4" t="s">
        <v>644</v>
      </c>
      <c r="F138" s="4" t="s">
        <v>61</v>
      </c>
      <c r="G138" s="4" t="s">
        <v>78</v>
      </c>
      <c r="H138" s="4" t="s">
        <v>139</v>
      </c>
      <c r="I138" s="4" t="s">
        <v>126</v>
      </c>
      <c r="J138" s="4" t="s">
        <v>126</v>
      </c>
      <c r="K138" s="4" t="s">
        <v>64</v>
      </c>
      <c r="L138" s="9" t="s">
        <v>48</v>
      </c>
      <c r="M138" s="4"/>
      <c r="N138" s="4" t="s">
        <v>654</v>
      </c>
    </row>
    <row r="139" customFormat="false" ht="15" hidden="false" customHeight="false" outlineLevel="0" collapsed="false">
      <c r="A139" s="4" t="s">
        <v>660</v>
      </c>
      <c r="B139" s="4" t="s">
        <v>471</v>
      </c>
      <c r="C139" s="4" t="s">
        <v>661</v>
      </c>
      <c r="D139" s="4" t="s">
        <v>662</v>
      </c>
      <c r="E139" s="4" t="s">
        <v>663</v>
      </c>
      <c r="F139" s="4" t="s">
        <v>61</v>
      </c>
      <c r="G139" s="4" t="s">
        <v>46</v>
      </c>
      <c r="H139" s="4" t="s">
        <v>139</v>
      </c>
      <c r="I139" s="4" t="s">
        <v>126</v>
      </c>
      <c r="J139" s="4" t="s">
        <v>126</v>
      </c>
      <c r="K139" s="4" t="s">
        <v>64</v>
      </c>
      <c r="L139" s="9" t="s">
        <v>48</v>
      </c>
      <c r="M139" s="4"/>
      <c r="N139" s="4" t="s">
        <v>664</v>
      </c>
    </row>
    <row r="140" customFormat="false" ht="15" hidden="false" customHeight="false" outlineLevel="0" collapsed="false">
      <c r="A140" s="4" t="s">
        <v>665</v>
      </c>
      <c r="B140" s="4" t="s">
        <v>471</v>
      </c>
      <c r="C140" s="4" t="s">
        <v>666</v>
      </c>
      <c r="D140" s="4" t="s">
        <v>667</v>
      </c>
      <c r="E140" s="4" t="s">
        <v>668</v>
      </c>
      <c r="F140" s="4" t="s">
        <v>61</v>
      </c>
      <c r="G140" s="4" t="s">
        <v>46</v>
      </c>
      <c r="H140" s="4" t="s">
        <v>139</v>
      </c>
      <c r="I140" s="4" t="s">
        <v>126</v>
      </c>
      <c r="J140" s="4" t="s">
        <v>126</v>
      </c>
      <c r="K140" s="4" t="s">
        <v>64</v>
      </c>
      <c r="L140" s="9" t="s">
        <v>48</v>
      </c>
      <c r="M140" s="4"/>
      <c r="N140" s="4" t="s">
        <v>669</v>
      </c>
    </row>
    <row r="141" customFormat="false" ht="15" hidden="false" customHeight="false" outlineLevel="0" collapsed="false">
      <c r="A141" s="4" t="s">
        <v>670</v>
      </c>
      <c r="B141" s="4" t="s">
        <v>471</v>
      </c>
      <c r="C141" s="4" t="s">
        <v>671</v>
      </c>
      <c r="D141" s="4" t="s">
        <v>672</v>
      </c>
      <c r="E141" s="4" t="s">
        <v>673</v>
      </c>
      <c r="F141" s="4" t="s">
        <v>61</v>
      </c>
      <c r="G141" s="4" t="s">
        <v>46</v>
      </c>
      <c r="H141" s="4" t="s">
        <v>139</v>
      </c>
      <c r="I141" s="4" t="s">
        <v>48</v>
      </c>
      <c r="J141" s="4"/>
      <c r="K141" s="4" t="s">
        <v>49</v>
      </c>
      <c r="L141" s="9" t="s">
        <v>48</v>
      </c>
      <c r="M141" s="4"/>
      <c r="N141" s="4" t="s">
        <v>674</v>
      </c>
    </row>
    <row r="142" customFormat="false" ht="15" hidden="false" customHeight="false" outlineLevel="0" collapsed="false">
      <c r="A142" s="4" t="s">
        <v>675</v>
      </c>
      <c r="B142" s="4" t="s">
        <v>471</v>
      </c>
      <c r="C142" s="4" t="s">
        <v>676</v>
      </c>
      <c r="D142" s="4" t="s">
        <v>483</v>
      </c>
      <c r="E142" s="4" t="s">
        <v>484</v>
      </c>
      <c r="F142" s="4" t="s">
        <v>61</v>
      </c>
      <c r="G142" s="4" t="s">
        <v>46</v>
      </c>
      <c r="H142" s="4" t="s">
        <v>139</v>
      </c>
      <c r="I142" s="4" t="s">
        <v>48</v>
      </c>
      <c r="J142" s="4"/>
      <c r="K142" s="4" t="s">
        <v>49</v>
      </c>
      <c r="L142" s="9" t="s">
        <v>48</v>
      </c>
      <c r="M142" s="4"/>
      <c r="N142" s="4" t="s">
        <v>677</v>
      </c>
    </row>
    <row r="143" customFormat="false" ht="15" hidden="false" customHeight="false" outlineLevel="0" collapsed="false">
      <c r="A143" s="4" t="s">
        <v>678</v>
      </c>
      <c r="B143" s="4" t="s">
        <v>471</v>
      </c>
      <c r="C143" s="4" t="s">
        <v>679</v>
      </c>
      <c r="D143" s="4" t="s">
        <v>529</v>
      </c>
      <c r="E143" s="4" t="s">
        <v>530</v>
      </c>
      <c r="F143" s="4" t="s">
        <v>61</v>
      </c>
      <c r="G143" s="4" t="s">
        <v>78</v>
      </c>
      <c r="H143" s="4" t="s">
        <v>139</v>
      </c>
      <c r="I143" s="4" t="s">
        <v>126</v>
      </c>
      <c r="J143" s="4" t="s">
        <v>126</v>
      </c>
      <c r="K143" s="4" t="s">
        <v>64</v>
      </c>
      <c r="L143" s="9" t="s">
        <v>48</v>
      </c>
      <c r="M143" s="4"/>
      <c r="N143" s="4" t="s">
        <v>680</v>
      </c>
    </row>
    <row r="144" customFormat="false" ht="15" hidden="false" customHeight="false" outlineLevel="0" collapsed="false">
      <c r="A144" s="4" t="s">
        <v>681</v>
      </c>
      <c r="B144" s="4" t="s">
        <v>471</v>
      </c>
      <c r="C144" s="4" t="s">
        <v>682</v>
      </c>
      <c r="D144" s="4" t="s">
        <v>683</v>
      </c>
      <c r="E144" s="4" t="s">
        <v>684</v>
      </c>
      <c r="F144" s="4" t="s">
        <v>61</v>
      </c>
      <c r="G144" s="4" t="s">
        <v>78</v>
      </c>
      <c r="H144" s="4" t="s">
        <v>139</v>
      </c>
      <c r="I144" s="4" t="s">
        <v>126</v>
      </c>
      <c r="J144" s="4" t="s">
        <v>126</v>
      </c>
      <c r="K144" s="4" t="s">
        <v>64</v>
      </c>
      <c r="L144" s="9" t="s">
        <v>48</v>
      </c>
      <c r="M144" s="4"/>
      <c r="N144" s="4" t="s">
        <v>685</v>
      </c>
    </row>
    <row r="145" customFormat="false" ht="15" hidden="false" customHeight="false" outlineLevel="0" collapsed="false">
      <c r="A145" s="4" t="s">
        <v>686</v>
      </c>
      <c r="B145" s="4" t="s">
        <v>471</v>
      </c>
      <c r="C145" s="4" t="s">
        <v>687</v>
      </c>
      <c r="D145" s="4" t="s">
        <v>483</v>
      </c>
      <c r="E145" s="4" t="s">
        <v>484</v>
      </c>
      <c r="F145" s="4" t="s">
        <v>61</v>
      </c>
      <c r="G145" s="4" t="s">
        <v>78</v>
      </c>
      <c r="H145" s="4" t="s">
        <v>139</v>
      </c>
      <c r="I145" s="4" t="s">
        <v>48</v>
      </c>
      <c r="J145" s="4"/>
      <c r="K145" s="4" t="s">
        <v>49</v>
      </c>
      <c r="L145" s="9" t="s">
        <v>48</v>
      </c>
      <c r="M145" s="4"/>
      <c r="N145" s="4" t="s">
        <v>688</v>
      </c>
    </row>
    <row r="146" customFormat="false" ht="15" hidden="false" customHeight="false" outlineLevel="0" collapsed="false">
      <c r="A146" s="4" t="s">
        <v>689</v>
      </c>
      <c r="B146" s="4" t="s">
        <v>471</v>
      </c>
      <c r="C146" s="4" t="s">
        <v>690</v>
      </c>
      <c r="D146" s="4" t="s">
        <v>691</v>
      </c>
      <c r="E146" s="4" t="s">
        <v>692</v>
      </c>
      <c r="F146" s="4" t="s">
        <v>61</v>
      </c>
      <c r="G146" s="4" t="s">
        <v>78</v>
      </c>
      <c r="H146" s="4" t="s">
        <v>139</v>
      </c>
      <c r="I146" s="4" t="s">
        <v>126</v>
      </c>
      <c r="J146" s="4" t="s">
        <v>126</v>
      </c>
      <c r="K146" s="4" t="s">
        <v>64</v>
      </c>
      <c r="L146" s="9" t="s">
        <v>48</v>
      </c>
      <c r="M146" s="4"/>
      <c r="N146" s="4" t="s">
        <v>693</v>
      </c>
    </row>
    <row r="147" customFormat="false" ht="15" hidden="false" customHeight="false" outlineLevel="0" collapsed="false">
      <c r="A147" s="4" t="s">
        <v>694</v>
      </c>
      <c r="B147" s="4" t="s">
        <v>471</v>
      </c>
      <c r="C147" s="4" t="s">
        <v>695</v>
      </c>
      <c r="D147" s="4" t="s">
        <v>602</v>
      </c>
      <c r="E147" s="4" t="s">
        <v>603</v>
      </c>
      <c r="F147" s="4" t="s">
        <v>61</v>
      </c>
      <c r="G147" s="4" t="s">
        <v>46</v>
      </c>
      <c r="H147" s="4" t="s">
        <v>139</v>
      </c>
      <c r="I147" s="4" t="s">
        <v>48</v>
      </c>
      <c r="J147" s="4"/>
      <c r="K147" s="4" t="s">
        <v>49</v>
      </c>
      <c r="L147" s="9" t="s">
        <v>48</v>
      </c>
      <c r="M147" s="4"/>
      <c r="N147" s="4" t="s">
        <v>696</v>
      </c>
    </row>
    <row r="148" customFormat="false" ht="15" hidden="false" customHeight="false" outlineLevel="0" collapsed="false">
      <c r="A148" s="4" t="s">
        <v>697</v>
      </c>
      <c r="B148" s="4" t="s">
        <v>471</v>
      </c>
      <c r="C148" s="4" t="s">
        <v>698</v>
      </c>
      <c r="D148" s="4" t="s">
        <v>699</v>
      </c>
      <c r="E148" s="4" t="s">
        <v>700</v>
      </c>
      <c r="F148" s="4" t="s">
        <v>61</v>
      </c>
      <c r="G148" s="4" t="s">
        <v>46</v>
      </c>
      <c r="H148" s="4" t="s">
        <v>139</v>
      </c>
      <c r="I148" s="4" t="s">
        <v>126</v>
      </c>
      <c r="J148" s="4" t="s">
        <v>126</v>
      </c>
      <c r="K148" s="4" t="s">
        <v>64</v>
      </c>
      <c r="L148" s="9" t="s">
        <v>48</v>
      </c>
      <c r="M148" s="4"/>
      <c r="N148" s="4" t="s">
        <v>701</v>
      </c>
    </row>
    <row r="149" customFormat="false" ht="15" hidden="false" customHeight="false" outlineLevel="0" collapsed="false">
      <c r="A149" s="4" t="s">
        <v>702</v>
      </c>
      <c r="B149" s="4" t="s">
        <v>471</v>
      </c>
      <c r="C149" s="4" t="s">
        <v>703</v>
      </c>
      <c r="D149" s="4" t="s">
        <v>521</v>
      </c>
      <c r="E149" s="4" t="s">
        <v>522</v>
      </c>
      <c r="F149" s="4" t="s">
        <v>61</v>
      </c>
      <c r="G149" s="4" t="s">
        <v>46</v>
      </c>
      <c r="H149" s="4" t="s">
        <v>139</v>
      </c>
      <c r="I149" s="4" t="s">
        <v>48</v>
      </c>
      <c r="J149" s="4"/>
      <c r="K149" s="4" t="s">
        <v>49</v>
      </c>
      <c r="L149" s="9" t="s">
        <v>48</v>
      </c>
      <c r="M149" s="4"/>
      <c r="N149" s="4" t="s">
        <v>704</v>
      </c>
    </row>
    <row r="150" customFormat="false" ht="15" hidden="false" customHeight="false" outlineLevel="0" collapsed="false">
      <c r="A150" s="4" t="s">
        <v>705</v>
      </c>
      <c r="B150" s="4" t="s">
        <v>471</v>
      </c>
      <c r="C150" s="4" t="s">
        <v>703</v>
      </c>
      <c r="D150" s="4" t="s">
        <v>573</v>
      </c>
      <c r="E150" s="4" t="s">
        <v>574</v>
      </c>
      <c r="F150" s="4" t="s">
        <v>61</v>
      </c>
      <c r="G150" s="4" t="s">
        <v>46</v>
      </c>
      <c r="H150" s="4" t="s">
        <v>139</v>
      </c>
      <c r="I150" s="4" t="s">
        <v>48</v>
      </c>
      <c r="J150" s="4"/>
      <c r="K150" s="4" t="s">
        <v>49</v>
      </c>
      <c r="L150" s="9" t="s">
        <v>48</v>
      </c>
      <c r="M150" s="4"/>
      <c r="N150" s="4" t="s">
        <v>704</v>
      </c>
    </row>
    <row r="151" customFormat="false" ht="15" hidden="false" customHeight="false" outlineLevel="0" collapsed="false">
      <c r="A151" s="4" t="s">
        <v>706</v>
      </c>
      <c r="B151" s="4" t="s">
        <v>471</v>
      </c>
      <c r="C151" s="4" t="s">
        <v>703</v>
      </c>
      <c r="D151" s="4" t="s">
        <v>707</v>
      </c>
      <c r="E151" s="4" t="s">
        <v>708</v>
      </c>
      <c r="F151" s="4" t="s">
        <v>61</v>
      </c>
      <c r="G151" s="4" t="s">
        <v>46</v>
      </c>
      <c r="H151" s="4" t="s">
        <v>139</v>
      </c>
      <c r="I151" s="4" t="s">
        <v>126</v>
      </c>
      <c r="J151" s="4" t="s">
        <v>126</v>
      </c>
      <c r="K151" s="4" t="s">
        <v>64</v>
      </c>
      <c r="L151" s="9" t="s">
        <v>48</v>
      </c>
      <c r="M151" s="4"/>
      <c r="N151" s="4" t="s">
        <v>704</v>
      </c>
    </row>
    <row r="152" customFormat="false" ht="15" hidden="false" customHeight="false" outlineLevel="0" collapsed="false">
      <c r="A152" s="4" t="s">
        <v>709</v>
      </c>
      <c r="B152" s="4" t="s">
        <v>471</v>
      </c>
      <c r="C152" s="4" t="s">
        <v>710</v>
      </c>
      <c r="D152" s="4" t="s">
        <v>521</v>
      </c>
      <c r="E152" s="4" t="s">
        <v>522</v>
      </c>
      <c r="F152" s="4" t="s">
        <v>61</v>
      </c>
      <c r="G152" s="4" t="s">
        <v>46</v>
      </c>
      <c r="H152" s="4" t="s">
        <v>139</v>
      </c>
      <c r="I152" s="4" t="s">
        <v>48</v>
      </c>
      <c r="J152" s="4"/>
      <c r="K152" s="4" t="s">
        <v>49</v>
      </c>
      <c r="L152" s="9" t="s">
        <v>48</v>
      </c>
      <c r="M152" s="4"/>
      <c r="N152" s="4" t="s">
        <v>711</v>
      </c>
    </row>
    <row r="153" customFormat="false" ht="15" hidden="false" customHeight="false" outlineLevel="0" collapsed="false">
      <c r="A153" s="4" t="s">
        <v>712</v>
      </c>
      <c r="B153" s="4" t="s">
        <v>471</v>
      </c>
      <c r="C153" s="4" t="s">
        <v>713</v>
      </c>
      <c r="D153" s="4" t="s">
        <v>483</v>
      </c>
      <c r="E153" s="4" t="s">
        <v>484</v>
      </c>
      <c r="F153" s="4" t="s">
        <v>61</v>
      </c>
      <c r="G153" s="4" t="s">
        <v>46</v>
      </c>
      <c r="H153" s="4" t="s">
        <v>139</v>
      </c>
      <c r="I153" s="4" t="s">
        <v>48</v>
      </c>
      <c r="J153" s="4"/>
      <c r="K153" s="4" t="s">
        <v>49</v>
      </c>
      <c r="L153" s="9" t="s">
        <v>48</v>
      </c>
      <c r="M153" s="4"/>
      <c r="N153" s="4" t="s">
        <v>714</v>
      </c>
    </row>
    <row r="154" customFormat="false" ht="15" hidden="false" customHeight="false" outlineLevel="0" collapsed="false">
      <c r="A154" s="4" t="s">
        <v>715</v>
      </c>
      <c r="B154" s="4" t="s">
        <v>471</v>
      </c>
      <c r="C154" s="4" t="s">
        <v>716</v>
      </c>
      <c r="D154" s="4" t="s">
        <v>560</v>
      </c>
      <c r="E154" s="4" t="s">
        <v>561</v>
      </c>
      <c r="F154" s="4" t="s">
        <v>61</v>
      </c>
      <c r="G154" s="4" t="s">
        <v>78</v>
      </c>
      <c r="H154" s="4" t="s">
        <v>139</v>
      </c>
      <c r="I154" s="4" t="s">
        <v>126</v>
      </c>
      <c r="J154" s="4" t="s">
        <v>126</v>
      </c>
      <c r="K154" s="4" t="s">
        <v>64</v>
      </c>
      <c r="L154" s="9" t="s">
        <v>48</v>
      </c>
      <c r="M154" s="4"/>
      <c r="N154" s="4" t="s">
        <v>717</v>
      </c>
    </row>
    <row r="155" customFormat="false" ht="15" hidden="false" customHeight="false" outlineLevel="0" collapsed="false">
      <c r="A155" s="4" t="s">
        <v>718</v>
      </c>
      <c r="B155" s="4" t="s">
        <v>471</v>
      </c>
      <c r="C155" s="4" t="s">
        <v>716</v>
      </c>
      <c r="D155" s="4" t="s">
        <v>506</v>
      </c>
      <c r="E155" s="4" t="s">
        <v>507</v>
      </c>
      <c r="F155" s="4" t="s">
        <v>61</v>
      </c>
      <c r="G155" s="4" t="s">
        <v>78</v>
      </c>
      <c r="H155" s="4" t="s">
        <v>139</v>
      </c>
      <c r="I155" s="4" t="s">
        <v>48</v>
      </c>
      <c r="J155" s="4"/>
      <c r="K155" s="4" t="s">
        <v>49</v>
      </c>
      <c r="L155" s="9" t="s">
        <v>48</v>
      </c>
      <c r="M155" s="4"/>
      <c r="N155" s="4" t="s">
        <v>717</v>
      </c>
    </row>
    <row r="156" customFormat="false" ht="15" hidden="false" customHeight="false" outlineLevel="0" collapsed="false">
      <c r="A156" s="4" t="s">
        <v>719</v>
      </c>
      <c r="B156" s="4" t="s">
        <v>471</v>
      </c>
      <c r="C156" s="4" t="s">
        <v>720</v>
      </c>
      <c r="D156" s="4" t="s">
        <v>506</v>
      </c>
      <c r="E156" s="4" t="s">
        <v>507</v>
      </c>
      <c r="F156" s="4" t="s">
        <v>61</v>
      </c>
      <c r="G156" s="4" t="s">
        <v>78</v>
      </c>
      <c r="H156" s="4" t="s">
        <v>139</v>
      </c>
      <c r="I156" s="4" t="s">
        <v>48</v>
      </c>
      <c r="J156" s="4"/>
      <c r="K156" s="4" t="s">
        <v>49</v>
      </c>
      <c r="L156" s="9" t="s">
        <v>48</v>
      </c>
      <c r="M156" s="4"/>
      <c r="N156" s="4" t="s">
        <v>721</v>
      </c>
    </row>
    <row r="157" customFormat="false" ht="15" hidden="false" customHeight="false" outlineLevel="0" collapsed="false">
      <c r="A157" s="4" t="s">
        <v>722</v>
      </c>
      <c r="B157" s="4" t="s">
        <v>471</v>
      </c>
      <c r="C157" s="4" t="s">
        <v>723</v>
      </c>
      <c r="D157" s="4" t="s">
        <v>602</v>
      </c>
      <c r="E157" s="4" t="s">
        <v>603</v>
      </c>
      <c r="F157" s="4" t="s">
        <v>61</v>
      </c>
      <c r="G157" s="4" t="s">
        <v>46</v>
      </c>
      <c r="H157" s="4" t="s">
        <v>139</v>
      </c>
      <c r="I157" s="4" t="s">
        <v>48</v>
      </c>
      <c r="J157" s="4"/>
      <c r="K157" s="4" t="s">
        <v>49</v>
      </c>
      <c r="L157" s="9" t="s">
        <v>48</v>
      </c>
      <c r="M157" s="4"/>
      <c r="N157" s="4" t="s">
        <v>724</v>
      </c>
    </row>
    <row r="158" customFormat="false" ht="15" hidden="false" customHeight="false" outlineLevel="0" collapsed="false">
      <c r="A158" s="4" t="s">
        <v>725</v>
      </c>
      <c r="B158" s="4" t="s">
        <v>471</v>
      </c>
      <c r="C158" s="4" t="s">
        <v>726</v>
      </c>
      <c r="D158" s="4" t="s">
        <v>491</v>
      </c>
      <c r="E158" s="4" t="s">
        <v>492</v>
      </c>
      <c r="F158" s="4" t="s">
        <v>61</v>
      </c>
      <c r="G158" s="4" t="s">
        <v>46</v>
      </c>
      <c r="H158" s="4" t="s">
        <v>139</v>
      </c>
      <c r="I158" s="4" t="s">
        <v>126</v>
      </c>
      <c r="J158" s="4" t="s">
        <v>126</v>
      </c>
      <c r="K158" s="4" t="s">
        <v>64</v>
      </c>
      <c r="L158" s="9" t="s">
        <v>48</v>
      </c>
      <c r="M158" s="4"/>
      <c r="N158" s="4" t="s">
        <v>727</v>
      </c>
    </row>
    <row r="159" customFormat="false" ht="15" hidden="false" customHeight="false" outlineLevel="0" collapsed="false">
      <c r="A159" s="4" t="s">
        <v>728</v>
      </c>
      <c r="B159" s="4" t="s">
        <v>471</v>
      </c>
      <c r="C159" s="4" t="s">
        <v>726</v>
      </c>
      <c r="D159" s="4" t="s">
        <v>729</v>
      </c>
      <c r="E159" s="4" t="s">
        <v>730</v>
      </c>
      <c r="F159" s="4" t="s">
        <v>61</v>
      </c>
      <c r="G159" s="4" t="s">
        <v>46</v>
      </c>
      <c r="H159" s="4" t="s">
        <v>139</v>
      </c>
      <c r="I159" s="4" t="s">
        <v>48</v>
      </c>
      <c r="J159" s="4"/>
      <c r="K159" s="4" t="s">
        <v>49</v>
      </c>
      <c r="L159" s="9" t="s">
        <v>48</v>
      </c>
      <c r="M159" s="4"/>
      <c r="N159" s="4" t="s">
        <v>727</v>
      </c>
    </row>
    <row r="160" customFormat="false" ht="15" hidden="false" customHeight="false" outlineLevel="0" collapsed="false">
      <c r="A160" s="4" t="s">
        <v>731</v>
      </c>
      <c r="B160" s="4" t="s">
        <v>471</v>
      </c>
      <c r="C160" s="4" t="s">
        <v>732</v>
      </c>
      <c r="D160" s="4" t="s">
        <v>534</v>
      </c>
      <c r="E160" s="4" t="s">
        <v>535</v>
      </c>
      <c r="F160" s="4" t="s">
        <v>61</v>
      </c>
      <c r="G160" s="4" t="s">
        <v>46</v>
      </c>
      <c r="H160" s="4" t="s">
        <v>139</v>
      </c>
      <c r="I160" s="4" t="s">
        <v>126</v>
      </c>
      <c r="J160" s="4" t="s">
        <v>126</v>
      </c>
      <c r="K160" s="4" t="s">
        <v>64</v>
      </c>
      <c r="L160" s="9" t="s">
        <v>48</v>
      </c>
      <c r="M160" s="4"/>
      <c r="N160" s="4" t="s">
        <v>733</v>
      </c>
    </row>
    <row r="161" customFormat="false" ht="15" hidden="false" customHeight="false" outlineLevel="0" collapsed="false">
      <c r="A161" s="4" t="s">
        <v>734</v>
      </c>
      <c r="B161" s="4" t="s">
        <v>471</v>
      </c>
      <c r="C161" s="4" t="s">
        <v>732</v>
      </c>
      <c r="D161" s="4" t="s">
        <v>735</v>
      </c>
      <c r="E161" s="4" t="s">
        <v>736</v>
      </c>
      <c r="F161" s="4" t="s">
        <v>61</v>
      </c>
      <c r="G161" s="4" t="s">
        <v>46</v>
      </c>
      <c r="H161" s="4" t="s">
        <v>139</v>
      </c>
      <c r="I161" s="4" t="s">
        <v>48</v>
      </c>
      <c r="J161" s="4"/>
      <c r="K161" s="4" t="s">
        <v>49</v>
      </c>
      <c r="L161" s="9" t="s">
        <v>48</v>
      </c>
      <c r="M161" s="4"/>
      <c r="N161" s="4" t="s">
        <v>733</v>
      </c>
    </row>
    <row r="162" customFormat="false" ht="15" hidden="false" customHeight="false" outlineLevel="0" collapsed="false">
      <c r="A162" s="4" t="s">
        <v>737</v>
      </c>
      <c r="B162" s="4" t="s">
        <v>471</v>
      </c>
      <c r="C162" s="4" t="s">
        <v>738</v>
      </c>
      <c r="D162" s="4" t="s">
        <v>739</v>
      </c>
      <c r="E162" s="4" t="s">
        <v>740</v>
      </c>
      <c r="F162" s="4" t="s">
        <v>61</v>
      </c>
      <c r="G162" s="4" t="s">
        <v>46</v>
      </c>
      <c r="H162" s="4" t="s">
        <v>139</v>
      </c>
      <c r="I162" s="4" t="s">
        <v>126</v>
      </c>
      <c r="J162" s="4" t="s">
        <v>126</v>
      </c>
      <c r="K162" s="4" t="s">
        <v>64</v>
      </c>
      <c r="L162" s="9" t="s">
        <v>48</v>
      </c>
      <c r="M162" s="4"/>
      <c r="N162" s="4" t="s">
        <v>741</v>
      </c>
    </row>
    <row r="163" customFormat="false" ht="15" hidden="false" customHeight="false" outlineLevel="0" collapsed="false">
      <c r="A163" s="4" t="s">
        <v>742</v>
      </c>
      <c r="B163" s="4" t="s">
        <v>471</v>
      </c>
      <c r="C163" s="4" t="s">
        <v>743</v>
      </c>
      <c r="D163" s="4" t="s">
        <v>483</v>
      </c>
      <c r="E163" s="4" t="s">
        <v>484</v>
      </c>
      <c r="F163" s="4" t="s">
        <v>61</v>
      </c>
      <c r="G163" s="4" t="s">
        <v>46</v>
      </c>
      <c r="H163" s="4" t="s">
        <v>139</v>
      </c>
      <c r="I163" s="4" t="s">
        <v>48</v>
      </c>
      <c r="J163" s="4"/>
      <c r="K163" s="4" t="s">
        <v>49</v>
      </c>
      <c r="L163" s="9" t="s">
        <v>48</v>
      </c>
      <c r="M163" s="4"/>
      <c r="N163" s="4" t="s">
        <v>744</v>
      </c>
    </row>
    <row r="164" customFormat="false" ht="15" hidden="false" customHeight="false" outlineLevel="0" collapsed="false">
      <c r="A164" s="4" t="s">
        <v>745</v>
      </c>
      <c r="B164" s="4" t="s">
        <v>471</v>
      </c>
      <c r="C164" s="4" t="s">
        <v>746</v>
      </c>
      <c r="D164" s="4" t="s">
        <v>483</v>
      </c>
      <c r="E164" s="4" t="s">
        <v>484</v>
      </c>
      <c r="F164" s="4" t="s">
        <v>61</v>
      </c>
      <c r="G164" s="4" t="s">
        <v>46</v>
      </c>
      <c r="H164" s="4" t="s">
        <v>139</v>
      </c>
      <c r="I164" s="4" t="s">
        <v>48</v>
      </c>
      <c r="J164" s="4"/>
      <c r="K164" s="4" t="s">
        <v>49</v>
      </c>
      <c r="L164" s="9" t="s">
        <v>48</v>
      </c>
      <c r="M164" s="4"/>
      <c r="N164" s="4" t="s">
        <v>747</v>
      </c>
    </row>
    <row r="165" customFormat="false" ht="15" hidden="false" customHeight="false" outlineLevel="0" collapsed="false">
      <c r="A165" s="4" t="s">
        <v>748</v>
      </c>
      <c r="B165" s="4" t="s">
        <v>471</v>
      </c>
      <c r="C165" s="4" t="s">
        <v>749</v>
      </c>
      <c r="D165" s="4" t="s">
        <v>506</v>
      </c>
      <c r="E165" s="4" t="s">
        <v>507</v>
      </c>
      <c r="F165" s="4" t="s">
        <v>61</v>
      </c>
      <c r="G165" s="4" t="s">
        <v>46</v>
      </c>
      <c r="H165" s="4" t="s">
        <v>139</v>
      </c>
      <c r="I165" s="4" t="s">
        <v>48</v>
      </c>
      <c r="J165" s="4"/>
      <c r="K165" s="4" t="s">
        <v>49</v>
      </c>
      <c r="L165" s="9" t="s">
        <v>48</v>
      </c>
      <c r="M165" s="4"/>
      <c r="N165" s="4" t="s">
        <v>750</v>
      </c>
    </row>
    <row r="166" customFormat="false" ht="15" hidden="false" customHeight="false" outlineLevel="0" collapsed="false">
      <c r="A166" s="4" t="s">
        <v>751</v>
      </c>
      <c r="B166" s="4" t="s">
        <v>471</v>
      </c>
      <c r="C166" s="4" t="s">
        <v>752</v>
      </c>
      <c r="D166" s="4" t="s">
        <v>521</v>
      </c>
      <c r="E166" s="4" t="s">
        <v>522</v>
      </c>
      <c r="F166" s="4" t="s">
        <v>61</v>
      </c>
      <c r="G166" s="4" t="s">
        <v>46</v>
      </c>
      <c r="H166" s="4" t="s">
        <v>139</v>
      </c>
      <c r="I166" s="4" t="s">
        <v>48</v>
      </c>
      <c r="J166" s="4"/>
      <c r="K166" s="4" t="s">
        <v>49</v>
      </c>
      <c r="L166" s="9" t="s">
        <v>48</v>
      </c>
      <c r="M166" s="4"/>
      <c r="N166" s="4" t="s">
        <v>753</v>
      </c>
    </row>
    <row r="167" customFormat="false" ht="15" hidden="false" customHeight="false" outlineLevel="0" collapsed="false">
      <c r="A167" s="4" t="s">
        <v>754</v>
      </c>
      <c r="B167" s="4" t="s">
        <v>471</v>
      </c>
      <c r="C167" s="4" t="s">
        <v>755</v>
      </c>
      <c r="D167" s="4" t="s">
        <v>521</v>
      </c>
      <c r="E167" s="4" t="s">
        <v>522</v>
      </c>
      <c r="F167" s="4" t="s">
        <v>61</v>
      </c>
      <c r="G167" s="4" t="s">
        <v>46</v>
      </c>
      <c r="H167" s="4" t="s">
        <v>139</v>
      </c>
      <c r="I167" s="4" t="s">
        <v>48</v>
      </c>
      <c r="J167" s="4"/>
      <c r="K167" s="4" t="s">
        <v>49</v>
      </c>
      <c r="L167" s="9" t="s">
        <v>48</v>
      </c>
      <c r="M167" s="4"/>
      <c r="N167" s="4" t="s">
        <v>756</v>
      </c>
    </row>
    <row r="168" customFormat="false" ht="15" hidden="false" customHeight="false" outlineLevel="0" collapsed="false">
      <c r="A168" s="4" t="s">
        <v>757</v>
      </c>
      <c r="B168" s="4" t="s">
        <v>471</v>
      </c>
      <c r="C168" s="4" t="s">
        <v>758</v>
      </c>
      <c r="D168" s="4" t="s">
        <v>483</v>
      </c>
      <c r="E168" s="4" t="s">
        <v>484</v>
      </c>
      <c r="F168" s="4" t="s">
        <v>61</v>
      </c>
      <c r="G168" s="4" t="s">
        <v>46</v>
      </c>
      <c r="H168" s="4" t="s">
        <v>139</v>
      </c>
      <c r="I168" s="4" t="s">
        <v>48</v>
      </c>
      <c r="J168" s="4"/>
      <c r="K168" s="4" t="s">
        <v>49</v>
      </c>
      <c r="L168" s="9" t="s">
        <v>48</v>
      </c>
      <c r="M168" s="4"/>
      <c r="N168" s="4" t="s">
        <v>759</v>
      </c>
    </row>
    <row r="169" customFormat="false" ht="15" hidden="false" customHeight="false" outlineLevel="0" collapsed="false">
      <c r="A169" s="4" t="s">
        <v>760</v>
      </c>
      <c r="B169" s="4" t="s">
        <v>471</v>
      </c>
      <c r="C169" s="4" t="s">
        <v>761</v>
      </c>
      <c r="D169" s="4" t="s">
        <v>529</v>
      </c>
      <c r="E169" s="4" t="s">
        <v>530</v>
      </c>
      <c r="F169" s="4" t="s">
        <v>61</v>
      </c>
      <c r="G169" s="4" t="s">
        <v>78</v>
      </c>
      <c r="H169" s="4" t="s">
        <v>139</v>
      </c>
      <c r="I169" s="4" t="s">
        <v>126</v>
      </c>
      <c r="J169" s="4" t="s">
        <v>126</v>
      </c>
      <c r="K169" s="4" t="s">
        <v>64</v>
      </c>
      <c r="L169" s="9" t="s">
        <v>48</v>
      </c>
      <c r="M169" s="4"/>
      <c r="N169" s="4" t="s">
        <v>762</v>
      </c>
    </row>
    <row r="170" customFormat="false" ht="15" hidden="false" customHeight="false" outlineLevel="0" collapsed="false">
      <c r="A170" s="4" t="s">
        <v>763</v>
      </c>
      <c r="B170" s="4" t="s">
        <v>471</v>
      </c>
      <c r="C170" s="4" t="s">
        <v>764</v>
      </c>
      <c r="D170" s="4" t="s">
        <v>602</v>
      </c>
      <c r="E170" s="4" t="s">
        <v>603</v>
      </c>
      <c r="F170" s="4" t="s">
        <v>61</v>
      </c>
      <c r="G170" s="4" t="s">
        <v>46</v>
      </c>
      <c r="H170" s="4" t="s">
        <v>139</v>
      </c>
      <c r="I170" s="4" t="s">
        <v>48</v>
      </c>
      <c r="J170" s="4"/>
      <c r="K170" s="4" t="s">
        <v>49</v>
      </c>
      <c r="L170" s="9" t="s">
        <v>48</v>
      </c>
      <c r="M170" s="4"/>
      <c r="N170" s="4" t="s">
        <v>765</v>
      </c>
    </row>
    <row r="171" customFormat="false" ht="15" hidden="false" customHeight="false" outlineLevel="0" collapsed="false">
      <c r="A171" s="4" t="s">
        <v>766</v>
      </c>
      <c r="B171" s="4" t="s">
        <v>471</v>
      </c>
      <c r="C171" s="4" t="s">
        <v>767</v>
      </c>
      <c r="D171" s="4" t="s">
        <v>768</v>
      </c>
      <c r="E171" s="4" t="s">
        <v>769</v>
      </c>
      <c r="F171" s="4" t="s">
        <v>61</v>
      </c>
      <c r="G171" s="4" t="s">
        <v>78</v>
      </c>
      <c r="H171" s="4" t="s">
        <v>139</v>
      </c>
      <c r="I171" s="4" t="s">
        <v>126</v>
      </c>
      <c r="J171" s="4" t="s">
        <v>126</v>
      </c>
      <c r="K171" s="4" t="s">
        <v>64</v>
      </c>
      <c r="L171" s="9" t="s">
        <v>48</v>
      </c>
      <c r="M171" s="4"/>
      <c r="N171" s="4" t="s">
        <v>770</v>
      </c>
    </row>
    <row r="172" customFormat="false" ht="15" hidden="false" customHeight="false" outlineLevel="0" collapsed="false">
      <c r="A172" s="4" t="s">
        <v>771</v>
      </c>
      <c r="B172" s="4" t="s">
        <v>471</v>
      </c>
      <c r="C172" s="4" t="s">
        <v>767</v>
      </c>
      <c r="D172" s="4" t="s">
        <v>772</v>
      </c>
      <c r="E172" s="4" t="s">
        <v>773</v>
      </c>
      <c r="F172" s="4" t="s">
        <v>61</v>
      </c>
      <c r="G172" s="4" t="s">
        <v>78</v>
      </c>
      <c r="H172" s="4" t="s">
        <v>139</v>
      </c>
      <c r="I172" s="4" t="s">
        <v>48</v>
      </c>
      <c r="J172" s="4"/>
      <c r="K172" s="4" t="s">
        <v>49</v>
      </c>
      <c r="L172" s="9" t="s">
        <v>48</v>
      </c>
      <c r="M172" s="4"/>
      <c r="N172" s="4" t="s">
        <v>770</v>
      </c>
    </row>
    <row r="173" customFormat="false" ht="15" hidden="false" customHeight="false" outlineLevel="0" collapsed="false">
      <c r="A173" s="4" t="s">
        <v>774</v>
      </c>
      <c r="B173" s="4" t="s">
        <v>471</v>
      </c>
      <c r="C173" s="4" t="s">
        <v>775</v>
      </c>
      <c r="D173" s="4" t="s">
        <v>776</v>
      </c>
      <c r="E173" s="4" t="s">
        <v>777</v>
      </c>
      <c r="F173" s="4" t="s">
        <v>61</v>
      </c>
      <c r="G173" s="4" t="s">
        <v>46</v>
      </c>
      <c r="H173" s="4" t="s">
        <v>139</v>
      </c>
      <c r="I173" s="4" t="s">
        <v>48</v>
      </c>
      <c r="J173" s="4"/>
      <c r="K173" s="4" t="s">
        <v>49</v>
      </c>
      <c r="L173" s="9" t="s">
        <v>48</v>
      </c>
      <c r="M173" s="4"/>
      <c r="N173" s="4" t="s">
        <v>778</v>
      </c>
    </row>
    <row r="174" customFormat="false" ht="15" hidden="false" customHeight="false" outlineLevel="0" collapsed="false">
      <c r="A174" s="4" t="s">
        <v>779</v>
      </c>
      <c r="B174" s="4" t="s">
        <v>471</v>
      </c>
      <c r="C174" s="4" t="s">
        <v>780</v>
      </c>
      <c r="D174" s="4" t="s">
        <v>521</v>
      </c>
      <c r="E174" s="4" t="s">
        <v>522</v>
      </c>
      <c r="F174" s="4" t="s">
        <v>61</v>
      </c>
      <c r="G174" s="4" t="s">
        <v>46</v>
      </c>
      <c r="H174" s="4" t="s">
        <v>139</v>
      </c>
      <c r="I174" s="4" t="s">
        <v>48</v>
      </c>
      <c r="J174" s="4"/>
      <c r="K174" s="4" t="s">
        <v>49</v>
      </c>
      <c r="L174" s="9" t="s">
        <v>48</v>
      </c>
      <c r="M174" s="4"/>
      <c r="N174" s="4" t="s">
        <v>781</v>
      </c>
    </row>
    <row r="175" customFormat="false" ht="15" hidden="false" customHeight="false" outlineLevel="0" collapsed="false">
      <c r="A175" s="4" t="s">
        <v>782</v>
      </c>
      <c r="B175" s="4" t="s">
        <v>471</v>
      </c>
      <c r="C175" s="4" t="s">
        <v>783</v>
      </c>
      <c r="D175" s="4" t="s">
        <v>613</v>
      </c>
      <c r="E175" s="4" t="s">
        <v>614</v>
      </c>
      <c r="F175" s="4" t="s">
        <v>61</v>
      </c>
      <c r="G175" s="4" t="s">
        <v>46</v>
      </c>
      <c r="H175" s="4" t="s">
        <v>139</v>
      </c>
      <c r="I175" s="4" t="s">
        <v>126</v>
      </c>
      <c r="J175" s="4" t="s">
        <v>126</v>
      </c>
      <c r="K175" s="4" t="s">
        <v>64</v>
      </c>
      <c r="L175" s="9" t="s">
        <v>48</v>
      </c>
      <c r="M175" s="4"/>
      <c r="N175" s="4" t="s">
        <v>784</v>
      </c>
    </row>
    <row r="176" customFormat="false" ht="15" hidden="false" customHeight="false" outlineLevel="0" collapsed="false">
      <c r="A176" s="4" t="s">
        <v>785</v>
      </c>
      <c r="B176" s="4" t="s">
        <v>471</v>
      </c>
      <c r="C176" s="4" t="s">
        <v>786</v>
      </c>
      <c r="D176" s="4" t="s">
        <v>491</v>
      </c>
      <c r="E176" s="4" t="s">
        <v>492</v>
      </c>
      <c r="F176" s="4" t="s">
        <v>61</v>
      </c>
      <c r="G176" s="4" t="s">
        <v>46</v>
      </c>
      <c r="H176" s="4" t="s">
        <v>139</v>
      </c>
      <c r="I176" s="4" t="s">
        <v>126</v>
      </c>
      <c r="J176" s="4" t="s">
        <v>126</v>
      </c>
      <c r="K176" s="4" t="s">
        <v>64</v>
      </c>
      <c r="L176" s="9" t="s">
        <v>48</v>
      </c>
      <c r="M176" s="4"/>
      <c r="N176" s="4" t="s">
        <v>787</v>
      </c>
    </row>
    <row r="177" customFormat="false" ht="15" hidden="false" customHeight="false" outlineLevel="0" collapsed="false">
      <c r="A177" s="4" t="s">
        <v>788</v>
      </c>
      <c r="B177" s="4" t="s">
        <v>471</v>
      </c>
      <c r="C177" s="4" t="s">
        <v>789</v>
      </c>
      <c r="D177" s="4" t="s">
        <v>790</v>
      </c>
      <c r="E177" s="4" t="s">
        <v>791</v>
      </c>
      <c r="F177" s="4" t="s">
        <v>61</v>
      </c>
      <c r="G177" s="4" t="s">
        <v>46</v>
      </c>
      <c r="H177" s="4" t="s">
        <v>139</v>
      </c>
      <c r="I177" s="4" t="s">
        <v>126</v>
      </c>
      <c r="J177" s="4" t="s">
        <v>126</v>
      </c>
      <c r="K177" s="4" t="s">
        <v>64</v>
      </c>
      <c r="L177" s="9" t="s">
        <v>48</v>
      </c>
      <c r="M177" s="4"/>
      <c r="N177" s="4" t="s">
        <v>792</v>
      </c>
    </row>
    <row r="178" customFormat="false" ht="15" hidden="false" customHeight="false" outlineLevel="0" collapsed="false">
      <c r="A178" s="4" t="s">
        <v>793</v>
      </c>
      <c r="B178" s="4" t="s">
        <v>471</v>
      </c>
      <c r="C178" s="4" t="s">
        <v>794</v>
      </c>
      <c r="D178" s="4" t="s">
        <v>672</v>
      </c>
      <c r="E178" s="4" t="s">
        <v>673</v>
      </c>
      <c r="F178" s="4" t="s">
        <v>61</v>
      </c>
      <c r="G178" s="4" t="s">
        <v>46</v>
      </c>
      <c r="H178" s="4" t="s">
        <v>139</v>
      </c>
      <c r="I178" s="4" t="s">
        <v>48</v>
      </c>
      <c r="J178" s="4"/>
      <c r="K178" s="4" t="s">
        <v>49</v>
      </c>
      <c r="L178" s="9" t="s">
        <v>48</v>
      </c>
      <c r="M178" s="4"/>
      <c r="N178" s="4" t="s">
        <v>795</v>
      </c>
    </row>
    <row r="179" customFormat="false" ht="15" hidden="false" customHeight="false" outlineLevel="0" collapsed="false">
      <c r="A179" s="4" t="s">
        <v>796</v>
      </c>
      <c r="B179" s="4" t="s">
        <v>471</v>
      </c>
      <c r="C179" s="4" t="s">
        <v>797</v>
      </c>
      <c r="D179" s="4" t="s">
        <v>483</v>
      </c>
      <c r="E179" s="4" t="s">
        <v>484</v>
      </c>
      <c r="F179" s="4" t="s">
        <v>61</v>
      </c>
      <c r="G179" s="4" t="s">
        <v>46</v>
      </c>
      <c r="H179" s="4" t="s">
        <v>139</v>
      </c>
      <c r="I179" s="4" t="s">
        <v>48</v>
      </c>
      <c r="J179" s="4"/>
      <c r="K179" s="4" t="s">
        <v>49</v>
      </c>
      <c r="L179" s="9" t="s">
        <v>48</v>
      </c>
      <c r="M179" s="4"/>
      <c r="N179" s="4" t="s">
        <v>798</v>
      </c>
    </row>
    <row r="180" customFormat="false" ht="15" hidden="false" customHeight="false" outlineLevel="0" collapsed="false">
      <c r="A180" s="4" t="s">
        <v>799</v>
      </c>
      <c r="B180" s="4" t="s">
        <v>471</v>
      </c>
      <c r="C180" s="4" t="s">
        <v>800</v>
      </c>
      <c r="D180" s="4" t="s">
        <v>801</v>
      </c>
      <c r="E180" s="4" t="s">
        <v>802</v>
      </c>
      <c r="F180" s="4" t="s">
        <v>61</v>
      </c>
      <c r="G180" s="4" t="s">
        <v>46</v>
      </c>
      <c r="H180" s="4" t="s">
        <v>139</v>
      </c>
      <c r="I180" s="4" t="s">
        <v>126</v>
      </c>
      <c r="J180" s="4" t="s">
        <v>126</v>
      </c>
      <c r="K180" s="4" t="s">
        <v>64</v>
      </c>
      <c r="L180" s="9" t="s">
        <v>48</v>
      </c>
      <c r="M180" s="4"/>
      <c r="N180" s="4" t="s">
        <v>803</v>
      </c>
    </row>
    <row r="181" customFormat="false" ht="15" hidden="false" customHeight="false" outlineLevel="0" collapsed="false">
      <c r="A181" s="4" t="s">
        <v>804</v>
      </c>
      <c r="B181" s="4" t="s">
        <v>805</v>
      </c>
      <c r="C181" s="4" t="s">
        <v>806</v>
      </c>
      <c r="D181" s="4" t="s">
        <v>807</v>
      </c>
      <c r="E181" s="4" t="s">
        <v>808</v>
      </c>
      <c r="F181" s="4" t="s">
        <v>45</v>
      </c>
      <c r="G181" s="4" t="s">
        <v>62</v>
      </c>
      <c r="H181" s="4" t="s">
        <v>47</v>
      </c>
      <c r="I181" s="4" t="s">
        <v>71</v>
      </c>
      <c r="J181" s="4" t="s">
        <v>157</v>
      </c>
      <c r="K181" s="4" t="s">
        <v>64</v>
      </c>
      <c r="L181" s="10" t="s">
        <v>71</v>
      </c>
      <c r="M181" s="4" t="s">
        <v>157</v>
      </c>
      <c r="N181" s="4" t="s">
        <v>809</v>
      </c>
    </row>
  </sheetData>
  <autoFilter ref="A1:N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26"/>
    <col collapsed="false" customWidth="true" hidden="false" outlineLevel="0" max="5" min="5" style="0" width="80"/>
  </cols>
  <sheetData>
    <row r="1" customFormat="false" ht="35.05" hidden="false" customHeight="false" outlineLevel="0" collapsed="false">
      <c r="A1" s="3" t="s">
        <v>27</v>
      </c>
      <c r="B1" s="3" t="s">
        <v>28</v>
      </c>
      <c r="C1" s="3" t="s">
        <v>810</v>
      </c>
      <c r="D1" s="3" t="s">
        <v>811</v>
      </c>
      <c r="E1" s="3" t="s">
        <v>812</v>
      </c>
    </row>
    <row r="2" customFormat="false" ht="15" hidden="false" customHeight="false" outlineLevel="0" collapsed="false">
      <c r="A2" s="4" t="s">
        <v>813</v>
      </c>
      <c r="B2" s="4" t="s">
        <v>814</v>
      </c>
      <c r="C2" s="4" t="s">
        <v>815</v>
      </c>
      <c r="D2" s="4" t="s">
        <v>816</v>
      </c>
      <c r="E2" s="4" t="s">
        <v>817</v>
      </c>
    </row>
    <row r="3" customFormat="false" ht="15" hidden="false" customHeight="false" outlineLevel="0" collapsed="false">
      <c r="A3" s="4" t="s">
        <v>813</v>
      </c>
      <c r="B3" s="4" t="s">
        <v>814</v>
      </c>
      <c r="C3" s="4" t="s">
        <v>818</v>
      </c>
      <c r="D3" s="4" t="s">
        <v>816</v>
      </c>
      <c r="E3" s="4" t="s">
        <v>817</v>
      </c>
    </row>
    <row r="4" customFormat="false" ht="15" hidden="false" customHeight="false" outlineLevel="0" collapsed="false">
      <c r="A4" s="4" t="s">
        <v>819</v>
      </c>
      <c r="B4" s="4" t="s">
        <v>820</v>
      </c>
      <c r="C4" s="4" t="s">
        <v>821</v>
      </c>
      <c r="D4" s="4" t="s">
        <v>816</v>
      </c>
      <c r="E4" s="4" t="s">
        <v>817</v>
      </c>
    </row>
    <row r="5" customFormat="false" ht="15" hidden="false" customHeight="false" outlineLevel="0" collapsed="false">
      <c r="A5" s="4" t="s">
        <v>819</v>
      </c>
      <c r="B5" s="4" t="s">
        <v>822</v>
      </c>
      <c r="C5" s="4" t="s">
        <v>823</v>
      </c>
      <c r="D5" s="4" t="s">
        <v>816</v>
      </c>
      <c r="E5" s="4" t="s">
        <v>817</v>
      </c>
    </row>
    <row r="6" customFormat="false" ht="15" hidden="false" customHeight="false" outlineLevel="0" collapsed="false">
      <c r="A6" s="4" t="s">
        <v>819</v>
      </c>
      <c r="B6" s="4" t="s">
        <v>820</v>
      </c>
      <c r="C6" s="4" t="s">
        <v>823</v>
      </c>
      <c r="D6" s="4" t="s">
        <v>816</v>
      </c>
      <c r="E6" s="4" t="s">
        <v>817</v>
      </c>
    </row>
    <row r="7" customFormat="false" ht="15" hidden="false" customHeight="false" outlineLevel="0" collapsed="false">
      <c r="A7" s="4" t="s">
        <v>819</v>
      </c>
      <c r="B7" s="4" t="s">
        <v>820</v>
      </c>
      <c r="C7" s="4" t="s">
        <v>824</v>
      </c>
      <c r="D7" s="4" t="s">
        <v>816</v>
      </c>
      <c r="E7" s="4" t="s">
        <v>817</v>
      </c>
    </row>
    <row r="8" customFormat="false" ht="15" hidden="false" customHeight="false" outlineLevel="0" collapsed="false">
      <c r="A8" s="4" t="s">
        <v>819</v>
      </c>
      <c r="B8" s="4" t="s">
        <v>825</v>
      </c>
      <c r="C8" s="4" t="s">
        <v>826</v>
      </c>
      <c r="D8" s="4" t="s">
        <v>816</v>
      </c>
      <c r="E8" s="4" t="s">
        <v>817</v>
      </c>
    </row>
    <row r="9" customFormat="false" ht="15" hidden="false" customHeight="false" outlineLevel="0" collapsed="false">
      <c r="A9" s="4" t="s">
        <v>819</v>
      </c>
      <c r="B9" s="4" t="s">
        <v>827</v>
      </c>
      <c r="C9" s="4" t="s">
        <v>826</v>
      </c>
      <c r="D9" s="4" t="s">
        <v>816</v>
      </c>
      <c r="E9" s="4" t="s">
        <v>817</v>
      </c>
    </row>
    <row r="10" customFormat="false" ht="15" hidden="false" customHeight="false" outlineLevel="0" collapsed="false">
      <c r="A10" s="4" t="s">
        <v>819</v>
      </c>
      <c r="B10" s="4" t="s">
        <v>820</v>
      </c>
      <c r="C10" s="4" t="s">
        <v>828</v>
      </c>
      <c r="D10" s="4" t="s">
        <v>816</v>
      </c>
      <c r="E10" s="4" t="s">
        <v>817</v>
      </c>
    </row>
    <row r="11" customFormat="false" ht="15" hidden="false" customHeight="false" outlineLevel="0" collapsed="false">
      <c r="A11" s="4" t="s">
        <v>829</v>
      </c>
      <c r="B11" s="4" t="s">
        <v>830</v>
      </c>
      <c r="C11" s="4" t="s">
        <v>831</v>
      </c>
      <c r="D11" s="4" t="s">
        <v>832</v>
      </c>
      <c r="E11" s="4" t="s">
        <v>833</v>
      </c>
    </row>
    <row r="12" customFormat="false" ht="15" hidden="false" customHeight="false" outlineLevel="0" collapsed="false">
      <c r="A12" s="4" t="s">
        <v>829</v>
      </c>
      <c r="B12" s="4" t="s">
        <v>834</v>
      </c>
      <c r="C12" s="4" t="s">
        <v>835</v>
      </c>
      <c r="D12" s="4" t="s">
        <v>832</v>
      </c>
      <c r="E12" s="4" t="s">
        <v>833</v>
      </c>
    </row>
    <row r="13" customFormat="false" ht="15" hidden="false" customHeight="false" outlineLevel="0" collapsed="false">
      <c r="A13" s="4" t="s">
        <v>829</v>
      </c>
      <c r="B13" s="4" t="s">
        <v>834</v>
      </c>
      <c r="C13" s="4" t="s">
        <v>836</v>
      </c>
      <c r="D13" s="4" t="s">
        <v>832</v>
      </c>
      <c r="E13" s="4" t="s">
        <v>833</v>
      </c>
    </row>
    <row r="14" customFormat="false" ht="15" hidden="false" customHeight="false" outlineLevel="0" collapsed="false">
      <c r="A14" s="4" t="s">
        <v>57</v>
      </c>
      <c r="B14" s="4" t="s">
        <v>837</v>
      </c>
      <c r="C14" s="4" t="s">
        <v>838</v>
      </c>
      <c r="D14" s="4" t="s">
        <v>832</v>
      </c>
      <c r="E14" s="4" t="s">
        <v>833</v>
      </c>
    </row>
    <row r="15" customFormat="false" ht="15" hidden="false" customHeight="false" outlineLevel="0" collapsed="false">
      <c r="A15" s="4" t="s">
        <v>57</v>
      </c>
      <c r="B15" s="4" t="s">
        <v>837</v>
      </c>
      <c r="C15" s="4" t="s">
        <v>839</v>
      </c>
      <c r="D15" s="4" t="s">
        <v>832</v>
      </c>
      <c r="E15" s="4" t="s">
        <v>833</v>
      </c>
    </row>
    <row r="16" customFormat="false" ht="15" hidden="false" customHeight="false" outlineLevel="0" collapsed="false">
      <c r="A16" s="4" t="s">
        <v>57</v>
      </c>
      <c r="B16" s="4" t="s">
        <v>840</v>
      </c>
      <c r="C16" s="4" t="s">
        <v>839</v>
      </c>
      <c r="D16" s="4" t="s">
        <v>832</v>
      </c>
      <c r="E16" s="4" t="s">
        <v>833</v>
      </c>
    </row>
    <row r="17" customFormat="false" ht="15" hidden="false" customHeight="false" outlineLevel="0" collapsed="false">
      <c r="A17" s="4" t="s">
        <v>74</v>
      </c>
      <c r="B17" s="4" t="s">
        <v>75</v>
      </c>
      <c r="C17" s="4" t="s">
        <v>841</v>
      </c>
      <c r="D17" s="4" t="s">
        <v>832</v>
      </c>
      <c r="E17" s="4" t="s">
        <v>833</v>
      </c>
    </row>
    <row r="18" customFormat="false" ht="15" hidden="false" customHeight="false" outlineLevel="0" collapsed="false">
      <c r="A18" s="4" t="s">
        <v>74</v>
      </c>
      <c r="B18" s="4" t="s">
        <v>75</v>
      </c>
      <c r="C18" s="4" t="s">
        <v>842</v>
      </c>
      <c r="D18" s="4" t="s">
        <v>832</v>
      </c>
      <c r="E18" s="4" t="s">
        <v>833</v>
      </c>
    </row>
    <row r="19" customFormat="false" ht="15" hidden="false" customHeight="false" outlineLevel="0" collapsed="false">
      <c r="A19" s="4" t="s">
        <v>843</v>
      </c>
      <c r="B19" s="4" t="s">
        <v>844</v>
      </c>
      <c r="C19" s="4" t="s">
        <v>845</v>
      </c>
      <c r="D19" s="4" t="s">
        <v>832</v>
      </c>
      <c r="E19" s="4" t="s">
        <v>833</v>
      </c>
    </row>
    <row r="20" customFormat="false" ht="15" hidden="false" customHeight="false" outlineLevel="0" collapsed="false">
      <c r="A20" s="4" t="s">
        <v>846</v>
      </c>
      <c r="B20" s="4" t="s">
        <v>847</v>
      </c>
      <c r="C20" s="4" t="s">
        <v>848</v>
      </c>
      <c r="D20" s="4" t="s">
        <v>832</v>
      </c>
      <c r="E20" s="4" t="s">
        <v>833</v>
      </c>
    </row>
    <row r="21" customFormat="false" ht="15" hidden="false" customHeight="false" outlineLevel="0" collapsed="false">
      <c r="A21" s="4" t="s">
        <v>849</v>
      </c>
      <c r="B21" s="4" t="s">
        <v>850</v>
      </c>
      <c r="C21" s="4" t="s">
        <v>851</v>
      </c>
      <c r="D21" s="4" t="s">
        <v>832</v>
      </c>
      <c r="E21" s="4" t="s">
        <v>833</v>
      </c>
    </row>
    <row r="22" customFormat="false" ht="15" hidden="false" customHeight="false" outlineLevel="0" collapsed="false">
      <c r="A22" s="4" t="s">
        <v>112</v>
      </c>
      <c r="B22" s="4" t="s">
        <v>113</v>
      </c>
      <c r="C22" s="4" t="s">
        <v>852</v>
      </c>
      <c r="D22" s="4" t="s">
        <v>832</v>
      </c>
      <c r="E22" s="4" t="s">
        <v>833</v>
      </c>
    </row>
    <row r="23" customFormat="false" ht="15" hidden="false" customHeight="false" outlineLevel="0" collapsed="false">
      <c r="A23" s="4" t="s">
        <v>112</v>
      </c>
      <c r="B23" s="4" t="s">
        <v>119</v>
      </c>
      <c r="C23" s="4" t="s">
        <v>852</v>
      </c>
      <c r="D23" s="4" t="s">
        <v>832</v>
      </c>
      <c r="E23" s="4" t="s">
        <v>833</v>
      </c>
    </row>
    <row r="24" customFormat="false" ht="15" hidden="false" customHeight="false" outlineLevel="0" collapsed="false">
      <c r="A24" s="4" t="s">
        <v>122</v>
      </c>
      <c r="B24" s="4" t="s">
        <v>123</v>
      </c>
      <c r="C24" s="4" t="s">
        <v>853</v>
      </c>
      <c r="D24" s="4" t="s">
        <v>832</v>
      </c>
      <c r="E24" s="4" t="s">
        <v>833</v>
      </c>
    </row>
    <row r="25" customFormat="false" ht="15" hidden="false" customHeight="false" outlineLevel="0" collapsed="false">
      <c r="A25" s="4" t="s">
        <v>122</v>
      </c>
      <c r="B25" s="4" t="s">
        <v>123</v>
      </c>
      <c r="C25" s="4" t="s">
        <v>854</v>
      </c>
      <c r="D25" s="4" t="s">
        <v>832</v>
      </c>
      <c r="E25" s="4" t="s">
        <v>833</v>
      </c>
    </row>
    <row r="26" customFormat="false" ht="15" hidden="false" customHeight="false" outlineLevel="0" collapsed="false">
      <c r="A26" s="4" t="s">
        <v>855</v>
      </c>
      <c r="B26" s="4" t="s">
        <v>856</v>
      </c>
      <c r="C26" s="4" t="s">
        <v>857</v>
      </c>
      <c r="D26" s="4" t="s">
        <v>832</v>
      </c>
      <c r="E26" s="4" t="s">
        <v>833</v>
      </c>
    </row>
    <row r="27" customFormat="false" ht="15" hidden="false" customHeight="false" outlineLevel="0" collapsed="false">
      <c r="A27" s="4" t="s">
        <v>153</v>
      </c>
      <c r="B27" s="4" t="s">
        <v>858</v>
      </c>
      <c r="C27" s="4" t="s">
        <v>859</v>
      </c>
      <c r="D27" s="4" t="s">
        <v>832</v>
      </c>
      <c r="E27" s="4" t="s">
        <v>833</v>
      </c>
    </row>
    <row r="28" customFormat="false" ht="15" hidden="false" customHeight="false" outlineLevel="0" collapsed="false">
      <c r="A28" s="4" t="s">
        <v>153</v>
      </c>
      <c r="B28" s="4" t="s">
        <v>154</v>
      </c>
      <c r="C28" s="4" t="s">
        <v>860</v>
      </c>
      <c r="D28" s="4" t="s">
        <v>832</v>
      </c>
      <c r="E28" s="4" t="s">
        <v>833</v>
      </c>
    </row>
    <row r="29" customFormat="false" ht="15" hidden="false" customHeight="false" outlineLevel="0" collapsed="false">
      <c r="A29" s="4" t="s">
        <v>861</v>
      </c>
      <c r="B29" s="4" t="s">
        <v>862</v>
      </c>
      <c r="C29" s="4" t="s">
        <v>863</v>
      </c>
      <c r="D29" s="4" t="s">
        <v>832</v>
      </c>
      <c r="E29" s="4" t="s">
        <v>833</v>
      </c>
    </row>
    <row r="30" customFormat="false" ht="15" hidden="false" customHeight="false" outlineLevel="0" collapsed="false">
      <c r="A30" s="4" t="s">
        <v>864</v>
      </c>
      <c r="B30" s="4" t="s">
        <v>865</v>
      </c>
      <c r="C30" s="4" t="s">
        <v>866</v>
      </c>
      <c r="D30" s="4" t="s">
        <v>832</v>
      </c>
      <c r="E30" s="4" t="s">
        <v>833</v>
      </c>
    </row>
    <row r="31" customFormat="false" ht="15" hidden="false" customHeight="false" outlineLevel="0" collapsed="false">
      <c r="A31" s="4" t="s">
        <v>867</v>
      </c>
      <c r="B31" s="4" t="s">
        <v>868</v>
      </c>
      <c r="C31" s="4" t="s">
        <v>869</v>
      </c>
      <c r="D31" s="4" t="s">
        <v>832</v>
      </c>
      <c r="E31" s="4" t="s">
        <v>833</v>
      </c>
    </row>
    <row r="32" customFormat="false" ht="15" hidden="false" customHeight="false" outlineLevel="0" collapsed="false">
      <c r="A32" s="4" t="s">
        <v>870</v>
      </c>
      <c r="B32" s="4" t="s">
        <v>871</v>
      </c>
      <c r="C32" s="4" t="s">
        <v>872</v>
      </c>
      <c r="D32" s="4" t="s">
        <v>832</v>
      </c>
      <c r="E32" s="4" t="s">
        <v>833</v>
      </c>
    </row>
    <row r="33" customFormat="false" ht="15" hidden="false" customHeight="false" outlineLevel="0" collapsed="false">
      <c r="A33" s="4" t="s">
        <v>873</v>
      </c>
      <c r="B33" s="4" t="s">
        <v>874</v>
      </c>
      <c r="C33" s="4" t="s">
        <v>875</v>
      </c>
      <c r="D33" s="4" t="s">
        <v>832</v>
      </c>
      <c r="E33" s="4" t="s">
        <v>833</v>
      </c>
    </row>
    <row r="34" customFormat="false" ht="15" hidden="false" customHeight="false" outlineLevel="0" collapsed="false">
      <c r="A34" s="4" t="s">
        <v>876</v>
      </c>
      <c r="B34" s="4" t="s">
        <v>877</v>
      </c>
      <c r="C34" s="4" t="s">
        <v>878</v>
      </c>
      <c r="D34" s="4" t="s">
        <v>832</v>
      </c>
      <c r="E34" s="4" t="s">
        <v>833</v>
      </c>
    </row>
    <row r="35" customFormat="false" ht="15" hidden="false" customHeight="false" outlineLevel="0" collapsed="false">
      <c r="A35" s="4" t="s">
        <v>876</v>
      </c>
      <c r="B35" s="4" t="s">
        <v>877</v>
      </c>
      <c r="C35" s="4" t="s">
        <v>879</v>
      </c>
      <c r="D35" s="4" t="s">
        <v>832</v>
      </c>
      <c r="E35" s="4" t="s">
        <v>833</v>
      </c>
    </row>
    <row r="36" customFormat="false" ht="15" hidden="false" customHeight="false" outlineLevel="0" collapsed="false">
      <c r="A36" s="4" t="s">
        <v>876</v>
      </c>
      <c r="B36" s="4" t="s">
        <v>880</v>
      </c>
      <c r="C36" s="4" t="s">
        <v>881</v>
      </c>
      <c r="D36" s="4" t="s">
        <v>832</v>
      </c>
      <c r="E36" s="4" t="s">
        <v>833</v>
      </c>
    </row>
    <row r="37" customFormat="false" ht="15" hidden="false" customHeight="false" outlineLevel="0" collapsed="false">
      <c r="A37" s="4" t="s">
        <v>876</v>
      </c>
      <c r="B37" s="4" t="s">
        <v>877</v>
      </c>
      <c r="C37" s="4" t="s">
        <v>881</v>
      </c>
      <c r="D37" s="4" t="s">
        <v>832</v>
      </c>
      <c r="E37" s="4" t="s">
        <v>833</v>
      </c>
    </row>
    <row r="38" customFormat="false" ht="15" hidden="false" customHeight="false" outlineLevel="0" collapsed="false">
      <c r="A38" s="4" t="s">
        <v>876</v>
      </c>
      <c r="B38" s="4" t="s">
        <v>882</v>
      </c>
      <c r="C38" s="4" t="s">
        <v>883</v>
      </c>
      <c r="D38" s="4" t="s">
        <v>832</v>
      </c>
      <c r="E38" s="4" t="s">
        <v>833</v>
      </c>
    </row>
    <row r="39" customFormat="false" ht="15" hidden="false" customHeight="false" outlineLevel="0" collapsed="false">
      <c r="A39" s="4" t="s">
        <v>884</v>
      </c>
      <c r="B39" s="4" t="s">
        <v>885</v>
      </c>
      <c r="C39" s="4" t="s">
        <v>886</v>
      </c>
      <c r="D39" s="4" t="s">
        <v>832</v>
      </c>
      <c r="E39" s="4" t="s">
        <v>833</v>
      </c>
    </row>
    <row r="40" customFormat="false" ht="15" hidden="false" customHeight="false" outlineLevel="0" collapsed="false">
      <c r="A40" s="4" t="s">
        <v>223</v>
      </c>
      <c r="B40" s="4" t="s">
        <v>292</v>
      </c>
      <c r="C40" s="4" t="s">
        <v>887</v>
      </c>
      <c r="D40" s="4" t="s">
        <v>832</v>
      </c>
      <c r="E40" s="4" t="s">
        <v>833</v>
      </c>
    </row>
    <row r="41" customFormat="false" ht="15" hidden="false" customHeight="false" outlineLevel="0" collapsed="false">
      <c r="A41" s="4" t="s">
        <v>223</v>
      </c>
      <c r="B41" s="4" t="s">
        <v>224</v>
      </c>
      <c r="C41" s="4" t="s">
        <v>888</v>
      </c>
      <c r="D41" s="4" t="s">
        <v>832</v>
      </c>
      <c r="E41" s="4" t="s">
        <v>833</v>
      </c>
    </row>
    <row r="42" customFormat="false" ht="15" hidden="false" customHeight="false" outlineLevel="0" collapsed="false">
      <c r="A42" s="4" t="s">
        <v>223</v>
      </c>
      <c r="B42" s="4" t="s">
        <v>889</v>
      </c>
      <c r="C42" s="4" t="s">
        <v>888</v>
      </c>
      <c r="D42" s="4" t="s">
        <v>832</v>
      </c>
      <c r="E42" s="4" t="s">
        <v>833</v>
      </c>
    </row>
    <row r="43" customFormat="false" ht="15" hidden="false" customHeight="false" outlineLevel="0" collapsed="false">
      <c r="A43" s="4" t="s">
        <v>223</v>
      </c>
      <c r="B43" s="4" t="s">
        <v>890</v>
      </c>
      <c r="C43" s="4" t="s">
        <v>888</v>
      </c>
      <c r="D43" s="4" t="s">
        <v>832</v>
      </c>
      <c r="E43" s="4" t="s">
        <v>833</v>
      </c>
    </row>
    <row r="44" customFormat="false" ht="15" hidden="false" customHeight="false" outlineLevel="0" collapsed="false">
      <c r="A44" s="4" t="s">
        <v>223</v>
      </c>
      <c r="B44" s="4" t="s">
        <v>891</v>
      </c>
      <c r="C44" s="4" t="s">
        <v>892</v>
      </c>
      <c r="D44" s="4" t="s">
        <v>832</v>
      </c>
      <c r="E44" s="4" t="s">
        <v>833</v>
      </c>
    </row>
    <row r="45" customFormat="false" ht="15" hidden="false" customHeight="false" outlineLevel="0" collapsed="false">
      <c r="A45" s="4" t="s">
        <v>223</v>
      </c>
      <c r="B45" s="4" t="s">
        <v>311</v>
      </c>
      <c r="C45" s="4" t="s">
        <v>893</v>
      </c>
      <c r="D45" s="4" t="s">
        <v>832</v>
      </c>
      <c r="E45" s="4" t="s">
        <v>833</v>
      </c>
    </row>
    <row r="46" customFormat="false" ht="15" hidden="false" customHeight="false" outlineLevel="0" collapsed="false">
      <c r="A46" s="4" t="s">
        <v>223</v>
      </c>
      <c r="B46" s="4" t="s">
        <v>894</v>
      </c>
      <c r="C46" s="4" t="s">
        <v>895</v>
      </c>
      <c r="D46" s="4" t="s">
        <v>832</v>
      </c>
      <c r="E46" s="4" t="s">
        <v>833</v>
      </c>
    </row>
    <row r="47" customFormat="false" ht="15" hidden="false" customHeight="false" outlineLevel="0" collapsed="false">
      <c r="A47" s="4" t="s">
        <v>339</v>
      </c>
      <c r="B47" s="4" t="s">
        <v>896</v>
      </c>
      <c r="C47" s="4" t="s">
        <v>897</v>
      </c>
      <c r="D47" s="4" t="s">
        <v>832</v>
      </c>
      <c r="E47" s="4" t="s">
        <v>833</v>
      </c>
    </row>
    <row r="48" customFormat="false" ht="15" hidden="false" customHeight="false" outlineLevel="0" collapsed="false">
      <c r="A48" s="4" t="s">
        <v>339</v>
      </c>
      <c r="B48" s="4" t="s">
        <v>898</v>
      </c>
      <c r="C48" s="4" t="s">
        <v>897</v>
      </c>
      <c r="D48" s="4" t="s">
        <v>832</v>
      </c>
      <c r="E48" s="4" t="s">
        <v>833</v>
      </c>
    </row>
    <row r="49" customFormat="false" ht="15" hidden="false" customHeight="false" outlineLevel="0" collapsed="false">
      <c r="A49" s="4" t="s">
        <v>339</v>
      </c>
      <c r="B49" s="4" t="s">
        <v>899</v>
      </c>
      <c r="C49" s="4" t="s">
        <v>897</v>
      </c>
      <c r="D49" s="4" t="s">
        <v>832</v>
      </c>
      <c r="E49" s="4" t="s">
        <v>833</v>
      </c>
    </row>
    <row r="50" customFormat="false" ht="15" hidden="false" customHeight="false" outlineLevel="0" collapsed="false">
      <c r="A50" s="4" t="s">
        <v>365</v>
      </c>
      <c r="B50" s="4" t="s">
        <v>375</v>
      </c>
      <c r="C50" s="4" t="s">
        <v>900</v>
      </c>
      <c r="D50" s="4" t="s">
        <v>832</v>
      </c>
      <c r="E50" s="4" t="s">
        <v>833</v>
      </c>
    </row>
    <row r="51" customFormat="false" ht="15" hidden="false" customHeight="false" outlineLevel="0" collapsed="false">
      <c r="A51" s="4" t="s">
        <v>365</v>
      </c>
      <c r="B51" s="4" t="s">
        <v>375</v>
      </c>
      <c r="C51" s="4" t="s">
        <v>901</v>
      </c>
      <c r="D51" s="4" t="s">
        <v>832</v>
      </c>
      <c r="E51" s="4" t="s">
        <v>833</v>
      </c>
    </row>
    <row r="52" customFormat="false" ht="15" hidden="false" customHeight="false" outlineLevel="0" collapsed="false">
      <c r="A52" s="4" t="s">
        <v>365</v>
      </c>
      <c r="B52" s="4" t="s">
        <v>375</v>
      </c>
      <c r="C52" s="4" t="s">
        <v>902</v>
      </c>
      <c r="D52" s="4" t="s">
        <v>832</v>
      </c>
      <c r="E52" s="4" t="s">
        <v>833</v>
      </c>
    </row>
    <row r="53" customFormat="false" ht="15" hidden="false" customHeight="false" outlineLevel="0" collapsed="false">
      <c r="A53" s="4" t="s">
        <v>365</v>
      </c>
      <c r="B53" s="4" t="s">
        <v>375</v>
      </c>
      <c r="C53" s="4" t="s">
        <v>903</v>
      </c>
      <c r="D53" s="4" t="s">
        <v>832</v>
      </c>
      <c r="E53" s="4" t="s">
        <v>833</v>
      </c>
    </row>
    <row r="54" customFormat="false" ht="15" hidden="false" customHeight="false" outlineLevel="0" collapsed="false">
      <c r="A54" s="4" t="s">
        <v>365</v>
      </c>
      <c r="B54" s="4" t="s">
        <v>375</v>
      </c>
      <c r="C54" s="4" t="s">
        <v>904</v>
      </c>
      <c r="D54" s="4" t="s">
        <v>832</v>
      </c>
      <c r="E54" s="4" t="s">
        <v>833</v>
      </c>
    </row>
    <row r="55" customFormat="false" ht="15" hidden="false" customHeight="false" outlineLevel="0" collapsed="false">
      <c r="A55" s="4" t="s">
        <v>365</v>
      </c>
      <c r="B55" s="4" t="s">
        <v>375</v>
      </c>
      <c r="C55" s="4" t="s">
        <v>905</v>
      </c>
      <c r="D55" s="4" t="s">
        <v>832</v>
      </c>
      <c r="E55" s="4" t="s">
        <v>833</v>
      </c>
    </row>
    <row r="56" customFormat="false" ht="15" hidden="false" customHeight="false" outlineLevel="0" collapsed="false">
      <c r="A56" s="4" t="s">
        <v>365</v>
      </c>
      <c r="B56" s="4" t="s">
        <v>375</v>
      </c>
      <c r="C56" s="4" t="s">
        <v>906</v>
      </c>
      <c r="D56" s="4" t="s">
        <v>832</v>
      </c>
      <c r="E56" s="4" t="s">
        <v>833</v>
      </c>
    </row>
    <row r="57" customFormat="false" ht="15" hidden="false" customHeight="false" outlineLevel="0" collapsed="false">
      <c r="A57" s="4" t="s">
        <v>365</v>
      </c>
      <c r="B57" s="4" t="s">
        <v>375</v>
      </c>
      <c r="C57" s="4" t="s">
        <v>907</v>
      </c>
      <c r="D57" s="4" t="s">
        <v>832</v>
      </c>
      <c r="E57" s="4" t="s">
        <v>833</v>
      </c>
    </row>
    <row r="58" customFormat="false" ht="15" hidden="false" customHeight="false" outlineLevel="0" collapsed="false">
      <c r="A58" s="4" t="s">
        <v>365</v>
      </c>
      <c r="B58" s="4" t="s">
        <v>375</v>
      </c>
      <c r="C58" s="4" t="s">
        <v>908</v>
      </c>
      <c r="D58" s="4" t="s">
        <v>832</v>
      </c>
      <c r="E58" s="4" t="s">
        <v>833</v>
      </c>
    </row>
    <row r="59" customFormat="false" ht="15" hidden="false" customHeight="false" outlineLevel="0" collapsed="false">
      <c r="A59" s="4" t="s">
        <v>409</v>
      </c>
      <c r="B59" s="4" t="s">
        <v>909</v>
      </c>
      <c r="C59" s="4" t="s">
        <v>910</v>
      </c>
      <c r="D59" s="4" t="s">
        <v>832</v>
      </c>
      <c r="E59" s="4" t="s">
        <v>833</v>
      </c>
    </row>
    <row r="60" customFormat="false" ht="15" hidden="false" customHeight="false" outlineLevel="0" collapsed="false">
      <c r="A60" s="4" t="s">
        <v>911</v>
      </c>
      <c r="B60" s="4" t="s">
        <v>912</v>
      </c>
      <c r="C60" s="4" t="s">
        <v>913</v>
      </c>
      <c r="D60" s="4" t="s">
        <v>832</v>
      </c>
      <c r="E60" s="4" t="s">
        <v>833</v>
      </c>
    </row>
    <row r="61" customFormat="false" ht="15" hidden="false" customHeight="false" outlineLevel="0" collapsed="false">
      <c r="A61" s="4" t="s">
        <v>421</v>
      </c>
      <c r="B61" s="4" t="s">
        <v>422</v>
      </c>
      <c r="C61" s="4" t="s">
        <v>914</v>
      </c>
      <c r="D61" s="4" t="s">
        <v>832</v>
      </c>
      <c r="E61" s="4" t="s">
        <v>833</v>
      </c>
    </row>
    <row r="62" customFormat="false" ht="15" hidden="false" customHeight="false" outlineLevel="0" collapsed="false">
      <c r="A62" s="4" t="s">
        <v>421</v>
      </c>
      <c r="B62" s="4" t="s">
        <v>915</v>
      </c>
      <c r="C62" s="4" t="s">
        <v>916</v>
      </c>
      <c r="D62" s="4" t="s">
        <v>832</v>
      </c>
      <c r="E62" s="4" t="s">
        <v>833</v>
      </c>
    </row>
    <row r="63" customFormat="false" ht="15" hidden="false" customHeight="false" outlineLevel="0" collapsed="false">
      <c r="A63" s="4" t="s">
        <v>917</v>
      </c>
      <c r="B63" s="4" t="s">
        <v>918</v>
      </c>
      <c r="C63" s="4" t="s">
        <v>919</v>
      </c>
      <c r="D63" s="4" t="s">
        <v>832</v>
      </c>
      <c r="E63" s="4" t="s">
        <v>833</v>
      </c>
    </row>
    <row r="64" customFormat="false" ht="15" hidden="false" customHeight="false" outlineLevel="0" collapsed="false">
      <c r="A64" s="4" t="s">
        <v>920</v>
      </c>
      <c r="B64" s="4" t="s">
        <v>921</v>
      </c>
      <c r="C64" s="4" t="s">
        <v>922</v>
      </c>
      <c r="D64" s="4" t="s">
        <v>832</v>
      </c>
      <c r="E64" s="4" t="s">
        <v>833</v>
      </c>
    </row>
    <row r="65" customFormat="false" ht="15" hidden="false" customHeight="false" outlineLevel="0" collapsed="false">
      <c r="A65" s="4" t="s">
        <v>471</v>
      </c>
      <c r="B65" s="4" t="s">
        <v>703</v>
      </c>
      <c r="C65" s="4" t="s">
        <v>923</v>
      </c>
      <c r="D65" s="4" t="s">
        <v>832</v>
      </c>
      <c r="E65" s="4" t="s">
        <v>833</v>
      </c>
    </row>
    <row r="66" customFormat="false" ht="15" hidden="false" customHeight="false" outlineLevel="0" collapsed="false">
      <c r="A66" s="4" t="s">
        <v>471</v>
      </c>
      <c r="B66" s="4" t="s">
        <v>716</v>
      </c>
      <c r="C66" s="4" t="s">
        <v>924</v>
      </c>
      <c r="D66" s="4" t="s">
        <v>832</v>
      </c>
      <c r="E66" s="4" t="s">
        <v>833</v>
      </c>
    </row>
    <row r="67" customFormat="false" ht="15" hidden="false" customHeight="false" outlineLevel="0" collapsed="false">
      <c r="A67" s="4" t="s">
        <v>471</v>
      </c>
      <c r="B67" s="4" t="s">
        <v>716</v>
      </c>
      <c r="C67" s="4" t="s">
        <v>925</v>
      </c>
      <c r="D67" s="4" t="s">
        <v>832</v>
      </c>
      <c r="E67" s="4" t="s">
        <v>833</v>
      </c>
    </row>
    <row r="68" customFormat="false" ht="15" hidden="false" customHeight="false" outlineLevel="0" collapsed="false">
      <c r="A68" s="4" t="s">
        <v>471</v>
      </c>
      <c r="B68" s="4" t="s">
        <v>716</v>
      </c>
      <c r="C68" s="4" t="s">
        <v>926</v>
      </c>
      <c r="D68" s="4" t="s">
        <v>832</v>
      </c>
      <c r="E68" s="4" t="s">
        <v>833</v>
      </c>
    </row>
    <row r="69" customFormat="false" ht="15" hidden="false" customHeight="false" outlineLevel="0" collapsed="false">
      <c r="A69" s="4" t="s">
        <v>471</v>
      </c>
      <c r="B69" s="4" t="s">
        <v>716</v>
      </c>
      <c r="C69" s="4" t="s">
        <v>927</v>
      </c>
      <c r="D69" s="4" t="s">
        <v>832</v>
      </c>
      <c r="E69" s="4" t="s">
        <v>833</v>
      </c>
    </row>
    <row r="70" customFormat="false" ht="15" hidden="false" customHeight="false" outlineLevel="0" collapsed="false">
      <c r="A70" s="4" t="s">
        <v>471</v>
      </c>
      <c r="B70" s="4" t="s">
        <v>653</v>
      </c>
      <c r="C70" s="4" t="s">
        <v>928</v>
      </c>
      <c r="D70" s="4" t="s">
        <v>832</v>
      </c>
      <c r="E70" s="4" t="s">
        <v>833</v>
      </c>
    </row>
    <row r="71" customFormat="false" ht="15" hidden="false" customHeight="false" outlineLevel="0" collapsed="false">
      <c r="A71" s="4" t="s">
        <v>471</v>
      </c>
      <c r="B71" s="4" t="s">
        <v>505</v>
      </c>
      <c r="C71" s="4" t="s">
        <v>929</v>
      </c>
      <c r="D71" s="4" t="s">
        <v>832</v>
      </c>
      <c r="E71" s="4" t="s">
        <v>833</v>
      </c>
    </row>
    <row r="72" customFormat="false" ht="15" hidden="false" customHeight="false" outlineLevel="0" collapsed="false">
      <c r="A72" s="4" t="s">
        <v>471</v>
      </c>
      <c r="B72" s="4" t="s">
        <v>716</v>
      </c>
      <c r="C72" s="4" t="s">
        <v>929</v>
      </c>
      <c r="D72" s="4" t="s">
        <v>832</v>
      </c>
      <c r="E72" s="4" t="s">
        <v>833</v>
      </c>
    </row>
    <row r="73" customFormat="false" ht="15" hidden="false" customHeight="false" outlineLevel="0" collapsed="false">
      <c r="A73" s="4" t="s">
        <v>471</v>
      </c>
      <c r="B73" s="4" t="s">
        <v>703</v>
      </c>
      <c r="C73" s="4" t="s">
        <v>930</v>
      </c>
      <c r="D73" s="4" t="s">
        <v>832</v>
      </c>
      <c r="E73" s="4" t="s">
        <v>833</v>
      </c>
    </row>
    <row r="74" customFormat="false" ht="15" hidden="false" customHeight="false" outlineLevel="0" collapsed="false">
      <c r="A74" s="4" t="s">
        <v>471</v>
      </c>
      <c r="B74" s="4" t="s">
        <v>931</v>
      </c>
      <c r="C74" s="4" t="s">
        <v>930</v>
      </c>
      <c r="D74" s="4" t="s">
        <v>832</v>
      </c>
      <c r="E74" s="4" t="s">
        <v>833</v>
      </c>
    </row>
    <row r="75" customFormat="false" ht="15" hidden="false" customHeight="false" outlineLevel="0" collapsed="false">
      <c r="A75" s="4" t="s">
        <v>471</v>
      </c>
      <c r="B75" s="4" t="s">
        <v>716</v>
      </c>
      <c r="C75" s="4" t="s">
        <v>932</v>
      </c>
      <c r="D75" s="4" t="s">
        <v>832</v>
      </c>
      <c r="E75" s="4" t="s">
        <v>833</v>
      </c>
    </row>
    <row r="76" customFormat="false" ht="15" hidden="false" customHeight="false" outlineLevel="0" collapsed="false">
      <c r="A76" s="4" t="s">
        <v>471</v>
      </c>
      <c r="B76" s="4" t="s">
        <v>732</v>
      </c>
      <c r="C76" s="4" t="s">
        <v>933</v>
      </c>
      <c r="D76" s="4" t="s">
        <v>832</v>
      </c>
      <c r="E76" s="4" t="s">
        <v>833</v>
      </c>
    </row>
    <row r="77" customFormat="false" ht="15" hidden="false" customHeight="false" outlineLevel="0" collapsed="false">
      <c r="A77" s="4" t="s">
        <v>471</v>
      </c>
      <c r="B77" s="4" t="s">
        <v>716</v>
      </c>
      <c r="C77" s="4" t="s">
        <v>934</v>
      </c>
      <c r="D77" s="4" t="s">
        <v>832</v>
      </c>
      <c r="E77" s="4" t="s">
        <v>833</v>
      </c>
    </row>
    <row r="78" customFormat="false" ht="15" hidden="false" customHeight="false" outlineLevel="0" collapsed="false">
      <c r="A78" s="4" t="s">
        <v>471</v>
      </c>
      <c r="B78" s="4" t="s">
        <v>716</v>
      </c>
      <c r="C78" s="4" t="s">
        <v>935</v>
      </c>
      <c r="D78" s="4" t="s">
        <v>832</v>
      </c>
      <c r="E78" s="4" t="s">
        <v>833</v>
      </c>
    </row>
    <row r="79" customFormat="false" ht="15" hidden="false" customHeight="false" outlineLevel="0" collapsed="false">
      <c r="A79" s="4" t="s">
        <v>471</v>
      </c>
      <c r="B79" s="4" t="s">
        <v>716</v>
      </c>
      <c r="C79" s="4" t="s">
        <v>936</v>
      </c>
      <c r="D79" s="4" t="s">
        <v>832</v>
      </c>
      <c r="E79" s="4" t="s">
        <v>833</v>
      </c>
    </row>
    <row r="80" customFormat="false" ht="15" hidden="false" customHeight="false" outlineLevel="0" collapsed="false">
      <c r="A80" s="4" t="s">
        <v>471</v>
      </c>
      <c r="B80" s="4" t="s">
        <v>716</v>
      </c>
      <c r="C80" s="4" t="s">
        <v>937</v>
      </c>
      <c r="D80" s="4" t="s">
        <v>832</v>
      </c>
      <c r="E80" s="4" t="s">
        <v>833</v>
      </c>
    </row>
    <row r="81" customFormat="false" ht="15" hidden="false" customHeight="false" outlineLevel="0" collapsed="false">
      <c r="A81" s="4" t="s">
        <v>471</v>
      </c>
      <c r="B81" s="4" t="s">
        <v>703</v>
      </c>
      <c r="C81" s="4" t="s">
        <v>938</v>
      </c>
      <c r="D81" s="4" t="s">
        <v>832</v>
      </c>
      <c r="E81" s="4" t="s">
        <v>833</v>
      </c>
    </row>
    <row r="82" customFormat="false" ht="15" hidden="false" customHeight="false" outlineLevel="0" collapsed="false">
      <c r="A82" s="4" t="s">
        <v>471</v>
      </c>
      <c r="B82" s="4" t="s">
        <v>703</v>
      </c>
      <c r="C82" s="4" t="s">
        <v>939</v>
      </c>
      <c r="D82" s="4" t="s">
        <v>832</v>
      </c>
      <c r="E82" s="4" t="s">
        <v>833</v>
      </c>
    </row>
    <row r="83" customFormat="false" ht="15" hidden="false" customHeight="false" outlineLevel="0" collapsed="false">
      <c r="A83" s="4" t="s">
        <v>471</v>
      </c>
      <c r="B83" s="4" t="s">
        <v>703</v>
      </c>
      <c r="C83" s="4" t="s">
        <v>940</v>
      </c>
      <c r="D83" s="4" t="s">
        <v>832</v>
      </c>
      <c r="E83" s="4" t="s">
        <v>833</v>
      </c>
    </row>
    <row r="84" customFormat="false" ht="15" hidden="false" customHeight="false" outlineLevel="0" collapsed="false">
      <c r="A84" s="4" t="s">
        <v>471</v>
      </c>
      <c r="B84" s="4" t="s">
        <v>703</v>
      </c>
      <c r="C84" s="4" t="s">
        <v>941</v>
      </c>
      <c r="D84" s="4" t="s">
        <v>832</v>
      </c>
      <c r="E84" s="4" t="s">
        <v>833</v>
      </c>
    </row>
    <row r="85" customFormat="false" ht="15" hidden="false" customHeight="false" outlineLevel="0" collapsed="false">
      <c r="A85" s="4" t="s">
        <v>942</v>
      </c>
      <c r="B85" s="4" t="s">
        <v>943</v>
      </c>
      <c r="C85" s="4" t="s">
        <v>944</v>
      </c>
      <c r="D85" s="4" t="s">
        <v>832</v>
      </c>
      <c r="E85" s="4" t="s">
        <v>833</v>
      </c>
    </row>
    <row r="86" customFormat="false" ht="15" hidden="false" customHeight="false" outlineLevel="0" collapsed="false">
      <c r="A86" s="4" t="s">
        <v>942</v>
      </c>
      <c r="B86" s="4" t="s">
        <v>945</v>
      </c>
      <c r="C86" s="4" t="s">
        <v>946</v>
      </c>
      <c r="D86" s="4" t="s">
        <v>832</v>
      </c>
      <c r="E86" s="4" t="s">
        <v>833</v>
      </c>
    </row>
    <row r="87" customFormat="false" ht="15" hidden="false" customHeight="false" outlineLevel="0" collapsed="false">
      <c r="A87" s="4" t="s">
        <v>947</v>
      </c>
      <c r="B87" s="4" t="s">
        <v>948</v>
      </c>
      <c r="C87" s="4" t="s">
        <v>949</v>
      </c>
      <c r="D87" s="4" t="s">
        <v>832</v>
      </c>
      <c r="E87" s="4" t="s">
        <v>833</v>
      </c>
    </row>
    <row r="88" customFormat="false" ht="15" hidden="false" customHeight="false" outlineLevel="0" collapsed="false">
      <c r="A88" s="4" t="s">
        <v>947</v>
      </c>
      <c r="B88" s="4" t="s">
        <v>948</v>
      </c>
      <c r="C88" s="4" t="s">
        <v>950</v>
      </c>
      <c r="D88" s="4" t="s">
        <v>832</v>
      </c>
      <c r="E88" s="4" t="s">
        <v>833</v>
      </c>
    </row>
    <row r="89" customFormat="false" ht="15" hidden="false" customHeight="false" outlineLevel="0" collapsed="false">
      <c r="A89" s="4" t="s">
        <v>947</v>
      </c>
      <c r="B89" s="4" t="s">
        <v>951</v>
      </c>
      <c r="C89" s="4" t="s">
        <v>952</v>
      </c>
      <c r="D89" s="4" t="s">
        <v>832</v>
      </c>
      <c r="E89" s="4" t="s">
        <v>833</v>
      </c>
    </row>
    <row r="90" customFormat="false" ht="15" hidden="false" customHeight="false" outlineLevel="0" collapsed="false">
      <c r="A90" s="4" t="s">
        <v>947</v>
      </c>
      <c r="B90" s="4" t="s">
        <v>953</v>
      </c>
      <c r="C90" s="4" t="s">
        <v>954</v>
      </c>
      <c r="D90" s="4" t="s">
        <v>832</v>
      </c>
      <c r="E90" s="4" t="s">
        <v>833</v>
      </c>
    </row>
    <row r="91" customFormat="false" ht="15" hidden="false" customHeight="false" outlineLevel="0" collapsed="false">
      <c r="A91" s="4" t="s">
        <v>955</v>
      </c>
      <c r="B91" s="4" t="s">
        <v>956</v>
      </c>
      <c r="C91" s="4" t="s">
        <v>957</v>
      </c>
      <c r="D91" s="4" t="s">
        <v>832</v>
      </c>
      <c r="E91" s="4" t="s">
        <v>833</v>
      </c>
    </row>
    <row r="92" customFormat="false" ht="15" hidden="false" customHeight="false" outlineLevel="0" collapsed="false">
      <c r="A92" s="4" t="s">
        <v>805</v>
      </c>
      <c r="B92" s="4" t="s">
        <v>958</v>
      </c>
      <c r="C92" s="4" t="s">
        <v>959</v>
      </c>
      <c r="D92" s="4" t="s">
        <v>832</v>
      </c>
      <c r="E92" s="4" t="s">
        <v>833</v>
      </c>
    </row>
    <row r="93" customFormat="false" ht="15" hidden="false" customHeight="false" outlineLevel="0" collapsed="false">
      <c r="A93" s="4" t="s">
        <v>805</v>
      </c>
      <c r="B93" s="4" t="s">
        <v>806</v>
      </c>
      <c r="C93" s="4" t="s">
        <v>960</v>
      </c>
      <c r="D93" s="4" t="s">
        <v>832</v>
      </c>
      <c r="E93" s="4" t="s">
        <v>833</v>
      </c>
    </row>
  </sheetData>
  <autoFilter ref="A1:E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3.85" hidden="false" customHeight="false" outlineLevel="0" collapsed="false">
      <c r="A1" s="3" t="s">
        <v>27</v>
      </c>
      <c r="B1" s="3" t="s">
        <v>961</v>
      </c>
      <c r="C1" s="3" t="s">
        <v>962</v>
      </c>
      <c r="D1" s="3" t="s">
        <v>963</v>
      </c>
      <c r="E1" s="3" t="s">
        <v>964</v>
      </c>
      <c r="F1" s="3" t="s">
        <v>965</v>
      </c>
      <c r="G1" s="3" t="s">
        <v>966</v>
      </c>
    </row>
    <row r="2" customFormat="false" ht="15" hidden="false" customHeight="false" outlineLevel="0" collapsed="false">
      <c r="A2" s="4" t="s">
        <v>41</v>
      </c>
      <c r="B2" s="4" t="n">
        <f aca="false">COUNTIF('Chi tiết CUT'!$B$2:$B$181,A2)</f>
        <v>2</v>
      </c>
      <c r="C2" s="4" t="n">
        <f aca="false">COUNTIFS('Chi tiết CUT'!$B$2:$B$181,A2,'Chi tiết CUT'!$I$2:$I$181,"ELIGIBLE")</f>
        <v>2</v>
      </c>
      <c r="D2" s="4" t="n">
        <f aca="false">COUNTIFS('Chi tiết CUT'!$B$2:$B$181,A2,'Chi tiết CUT'!$L$2:$L$181,"ELIGIBLE")</f>
        <v>2</v>
      </c>
      <c r="E2" s="4" t="n">
        <f aca="false">SUMPRODUCT(('Chi tiết CUT'!$B$2:$B$181=A2)*('Chi tiết CUT'!$L$2:$L$181="ELIGIBLE")/COUNTIFS('Chi tiết CUT'!$B$2:$B$181,'Chi tiết CUT'!$B$2:$B$181,'Chi tiết CUT'!$C$2:$C$181,'Chi tiết CUT'!$C$2:$C$181,'Chi tiết CUT'!$L$2:$L$181,'Chi tiết CUT'!$L$2:$L$181))</f>
        <v>2</v>
      </c>
      <c r="F2" s="4" t="str">
        <f aca="false">IF(D2&gt;0,"Có","Không")</f>
        <v>Có</v>
      </c>
      <c r="G2" s="4" t="str">
        <f aca="false">IF(E2&gt;=2,"Có","Không")</f>
        <v>Có</v>
      </c>
    </row>
    <row r="3" customFormat="false" ht="15" hidden="false" customHeight="false" outlineLevel="0" collapsed="false">
      <c r="A3" s="4" t="s">
        <v>57</v>
      </c>
      <c r="B3" s="4" t="n">
        <f aca="false">COUNTIF('Chi tiết CUT'!$B$2:$B$181,A3)</f>
        <v>1</v>
      </c>
      <c r="C3" s="4" t="n">
        <f aca="false">COUNTIFS('Chi tiết CUT'!$B$2:$B$181,A3,'Chi tiết CUT'!$I$2:$I$181,"ELIGIBLE")</f>
        <v>0</v>
      </c>
      <c r="D3" s="4" t="n">
        <f aca="false">COUNTIFS('Chi tiết CUT'!$B$2:$B$181,A3,'Chi tiết CUT'!$L$2:$L$181,"ELIGIBLE")</f>
        <v>0</v>
      </c>
      <c r="E3" s="4" t="n">
        <f aca="false">SUMPRODUCT(('Chi tiết CUT'!$B$2:$B$181=A3)*('Chi tiết CUT'!$L$2:$L$181="ELIGIBLE")/COUNTIFS('Chi tiết CUT'!$B$2:$B$181,'Chi tiết CUT'!$B$2:$B$181,'Chi tiết CUT'!$C$2:$C$181,'Chi tiết CUT'!$C$2:$C$181,'Chi tiết CUT'!$L$2:$L$181,'Chi tiết CUT'!$L$2:$L$181))</f>
        <v>0</v>
      </c>
      <c r="F3" s="4" t="str">
        <f aca="false">IF(D3&gt;0,"Có","Không")</f>
        <v>Không</v>
      </c>
      <c r="G3" s="4" t="str">
        <f aca="false">IF(E3&gt;=2,"Có","Không")</f>
        <v>Không</v>
      </c>
    </row>
    <row r="4" customFormat="false" ht="15" hidden="false" customHeight="false" outlineLevel="0" collapsed="false">
      <c r="A4" s="4" t="s">
        <v>67</v>
      </c>
      <c r="B4" s="4" t="n">
        <f aca="false">COUNTIF('Chi tiết CUT'!$B$2:$B$181,A4)</f>
        <v>1</v>
      </c>
      <c r="C4" s="4" t="n">
        <f aca="false">COUNTIFS('Chi tiết CUT'!$B$2:$B$181,A4,'Chi tiết CUT'!$I$2:$I$181,"ELIGIBLE")</f>
        <v>0</v>
      </c>
      <c r="D4" s="4" t="n">
        <f aca="false">COUNTIFS('Chi tiết CUT'!$B$2:$B$181,A4,'Chi tiết CUT'!$L$2:$L$181,"ELIGIBLE")</f>
        <v>0</v>
      </c>
      <c r="E4" s="4" t="n">
        <f aca="false">SUMPRODUCT(('Chi tiết CUT'!$B$2:$B$181=A4)*('Chi tiết CUT'!$L$2:$L$181="ELIGIBLE")/COUNTIFS('Chi tiết CUT'!$B$2:$B$181,'Chi tiết CUT'!$B$2:$B$181,'Chi tiết CUT'!$C$2:$C$181,'Chi tiết CUT'!$C$2:$C$181,'Chi tiết CUT'!$L$2:$L$181,'Chi tiết CUT'!$L$2:$L$181))</f>
        <v>0</v>
      </c>
      <c r="F4" s="4" t="str">
        <f aca="false">IF(D4&gt;0,"Có","Không")</f>
        <v>Không</v>
      </c>
      <c r="G4" s="4" t="str">
        <f aca="false">IF(E4&gt;=2,"Có","Không")</f>
        <v>Không</v>
      </c>
    </row>
    <row r="5" customFormat="false" ht="15" hidden="false" customHeight="false" outlineLevel="0" collapsed="false">
      <c r="A5" s="4" t="s">
        <v>74</v>
      </c>
      <c r="B5" s="4" t="n">
        <f aca="false">COUNTIF('Chi tiết CUT'!$B$2:$B$181,A5)</f>
        <v>1</v>
      </c>
      <c r="C5" s="4" t="n">
        <f aca="false">COUNTIFS('Chi tiết CUT'!$B$2:$B$181,A5,'Chi tiết CUT'!$I$2:$I$181,"ELIGIBLE")</f>
        <v>1</v>
      </c>
      <c r="D5" s="4" t="n">
        <f aca="false">COUNTIFS('Chi tiết CUT'!$B$2:$B$181,A5,'Chi tiết CUT'!$L$2:$L$181,"ELIGIBLE")</f>
        <v>1</v>
      </c>
      <c r="E5" s="4" t="n">
        <f aca="false">SUMPRODUCT(('Chi tiết CUT'!$B$2:$B$181=A5)*('Chi tiết CUT'!$L$2:$L$181="ELIGIBLE")/COUNTIFS('Chi tiết CUT'!$B$2:$B$181,'Chi tiết CUT'!$B$2:$B$181,'Chi tiết CUT'!$C$2:$C$181,'Chi tiết CUT'!$C$2:$C$181,'Chi tiết CUT'!$L$2:$L$181,'Chi tiết CUT'!$L$2:$L$181))</f>
        <v>1</v>
      </c>
      <c r="F5" s="4" t="str">
        <f aca="false">IF(D5&gt;0,"Có","Không")</f>
        <v>Có</v>
      </c>
      <c r="G5" s="4" t="str">
        <f aca="false">IF(E5&gt;=2,"Có","Không")</f>
        <v>Không</v>
      </c>
    </row>
    <row r="6" customFormat="false" ht="15" hidden="false" customHeight="false" outlineLevel="0" collapsed="false">
      <c r="A6" s="4" t="s">
        <v>81</v>
      </c>
      <c r="B6" s="4" t="n">
        <f aca="false">COUNTIF('Chi tiết CUT'!$B$2:$B$181,A6)</f>
        <v>2</v>
      </c>
      <c r="C6" s="4" t="n">
        <f aca="false">COUNTIFS('Chi tiết CUT'!$B$2:$B$181,A6,'Chi tiết CUT'!$I$2:$I$181,"ELIGIBLE")</f>
        <v>2</v>
      </c>
      <c r="D6" s="4" t="n">
        <f aca="false">COUNTIFS('Chi tiết CUT'!$B$2:$B$181,A6,'Chi tiết CUT'!$L$2:$L$181,"ELIGIBLE")</f>
        <v>2</v>
      </c>
      <c r="E6" s="4" t="n">
        <f aca="false">SUMPRODUCT(('Chi tiết CUT'!$B$2:$B$181=A6)*('Chi tiết CUT'!$L$2:$L$181="ELIGIBLE")/COUNTIFS('Chi tiết CUT'!$B$2:$B$181,'Chi tiết CUT'!$B$2:$B$181,'Chi tiết CUT'!$C$2:$C$181,'Chi tiết CUT'!$C$2:$C$181,'Chi tiết CUT'!$L$2:$L$181,'Chi tiết CUT'!$L$2:$L$181))</f>
        <v>2</v>
      </c>
      <c r="F6" s="4" t="str">
        <f aca="false">IF(D6&gt;0,"Có","Không")</f>
        <v>Có</v>
      </c>
      <c r="G6" s="4" t="str">
        <f aca="false">IF(E6&gt;=2,"Có","Không")</f>
        <v>Có</v>
      </c>
    </row>
    <row r="7" customFormat="false" ht="15" hidden="false" customHeight="false" outlineLevel="0" collapsed="false">
      <c r="A7" s="4" t="s">
        <v>91</v>
      </c>
      <c r="B7" s="4" t="n">
        <f aca="false">COUNTIF('Chi tiết CUT'!$B$2:$B$181,A7)</f>
        <v>4</v>
      </c>
      <c r="C7" s="4" t="n">
        <f aca="false">COUNTIFS('Chi tiết CUT'!$B$2:$B$181,A7,'Chi tiết CUT'!$I$2:$I$181,"ELIGIBLE")</f>
        <v>4</v>
      </c>
      <c r="D7" s="4" t="n">
        <f aca="false">COUNTIFS('Chi tiết CUT'!$B$2:$B$181,A7,'Chi tiết CUT'!$L$2:$L$181,"ELIGIBLE")</f>
        <v>4</v>
      </c>
      <c r="E7" s="4" t="n">
        <f aca="false">SUMPRODUCT(('Chi tiết CUT'!$B$2:$B$181=A7)*('Chi tiết CUT'!$L$2:$L$181="ELIGIBLE")/COUNTIFS('Chi tiết CUT'!$B$2:$B$181,'Chi tiết CUT'!$B$2:$B$181,'Chi tiết CUT'!$C$2:$C$181,'Chi tiết CUT'!$C$2:$C$181,'Chi tiết CUT'!$L$2:$L$181,'Chi tiết CUT'!$L$2:$L$181))</f>
        <v>4</v>
      </c>
      <c r="F7" s="4" t="str">
        <f aca="false">IF(D7&gt;0,"Có","Không")</f>
        <v>Có</v>
      </c>
      <c r="G7" s="4" t="str">
        <f aca="false">IF(E7&gt;=2,"Có","Không")</f>
        <v>Có</v>
      </c>
    </row>
    <row r="8" customFormat="false" ht="15" hidden="false" customHeight="false" outlineLevel="0" collapsed="false">
      <c r="A8" s="4" t="s">
        <v>112</v>
      </c>
      <c r="B8" s="4" t="n">
        <f aca="false">COUNTIF('Chi tiết CUT'!$B$2:$B$181,A8)</f>
        <v>2</v>
      </c>
      <c r="C8" s="4" t="n">
        <f aca="false">COUNTIFS('Chi tiết CUT'!$B$2:$B$181,A8,'Chi tiết CUT'!$I$2:$I$181,"ELIGIBLE")</f>
        <v>0</v>
      </c>
      <c r="D8" s="4" t="n">
        <f aca="false">COUNTIFS('Chi tiết CUT'!$B$2:$B$181,A8,'Chi tiết CUT'!$L$2:$L$181,"ELIGIBLE")</f>
        <v>0</v>
      </c>
      <c r="E8" s="4" t="n">
        <f aca="false">SUMPRODUCT(('Chi tiết CUT'!$B$2:$B$181=A8)*('Chi tiết CUT'!$L$2:$L$181="ELIGIBLE")/COUNTIFS('Chi tiết CUT'!$B$2:$B$181,'Chi tiết CUT'!$B$2:$B$181,'Chi tiết CUT'!$C$2:$C$181,'Chi tiết CUT'!$C$2:$C$181,'Chi tiết CUT'!$L$2:$L$181,'Chi tiết CUT'!$L$2:$L$181))</f>
        <v>0</v>
      </c>
      <c r="F8" s="4" t="str">
        <f aca="false">IF(D8&gt;0,"Có","Không")</f>
        <v>Không</v>
      </c>
      <c r="G8" s="4" t="str">
        <f aca="false">IF(E8&gt;=2,"Có","Không")</f>
        <v>Không</v>
      </c>
    </row>
    <row r="9" customFormat="false" ht="15" hidden="false" customHeight="false" outlineLevel="0" collapsed="false">
      <c r="A9" s="4" t="s">
        <v>122</v>
      </c>
      <c r="B9" s="4" t="n">
        <f aca="false">COUNTIF('Chi tiết CUT'!$B$2:$B$181,A9)</f>
        <v>1</v>
      </c>
      <c r="C9" s="4" t="n">
        <f aca="false">COUNTIFS('Chi tiết CUT'!$B$2:$B$181,A9,'Chi tiết CUT'!$I$2:$I$181,"ELIGIBLE")</f>
        <v>0</v>
      </c>
      <c r="D9" s="4" t="n">
        <f aca="false">COUNTIFS('Chi tiết CUT'!$B$2:$B$181,A9,'Chi tiết CUT'!$L$2:$L$181,"ELIGIBLE")</f>
        <v>1</v>
      </c>
      <c r="E9" s="4" t="n">
        <f aca="false">SUMPRODUCT(('Chi tiết CUT'!$B$2:$B$181=A9)*('Chi tiết CUT'!$L$2:$L$181="ELIGIBLE")/COUNTIFS('Chi tiết CUT'!$B$2:$B$181,'Chi tiết CUT'!$B$2:$B$181,'Chi tiết CUT'!$C$2:$C$181,'Chi tiết CUT'!$C$2:$C$181,'Chi tiết CUT'!$L$2:$L$181,'Chi tiết CUT'!$L$2:$L$181))</f>
        <v>1</v>
      </c>
      <c r="F9" s="4" t="str">
        <f aca="false">IF(D9&gt;0,"Có","Không")</f>
        <v>Có</v>
      </c>
      <c r="G9" s="4" t="str">
        <f aca="false">IF(E9&gt;=2,"Có","Không")</f>
        <v>Không</v>
      </c>
    </row>
    <row r="10" customFormat="false" ht="15" hidden="false" customHeight="false" outlineLevel="0" collapsed="false">
      <c r="A10" s="4" t="s">
        <v>129</v>
      </c>
      <c r="B10" s="4" t="n">
        <f aca="false">COUNTIF('Chi tiết CUT'!$B$2:$B$181,A10)</f>
        <v>1</v>
      </c>
      <c r="C10" s="4" t="n">
        <f aca="false">COUNTIFS('Chi tiết CUT'!$B$2:$B$181,A10,'Chi tiết CUT'!$I$2:$I$181,"ELIGIBLE")</f>
        <v>0</v>
      </c>
      <c r="D10" s="4" t="n">
        <f aca="false">COUNTIFS('Chi tiết CUT'!$B$2:$B$181,A10,'Chi tiết CUT'!$L$2:$L$181,"ELIGIBLE")</f>
        <v>1</v>
      </c>
      <c r="E10" s="4" t="n">
        <f aca="false">SUMPRODUCT(('Chi tiết CUT'!$B$2:$B$181=A10)*('Chi tiết CUT'!$L$2:$L$181="ELIGIBLE")/COUNTIFS('Chi tiết CUT'!$B$2:$B$181,'Chi tiết CUT'!$B$2:$B$181,'Chi tiết CUT'!$C$2:$C$181,'Chi tiết CUT'!$C$2:$C$181,'Chi tiết CUT'!$L$2:$L$181,'Chi tiết CUT'!$L$2:$L$181))</f>
        <v>1</v>
      </c>
      <c r="F10" s="4" t="str">
        <f aca="false">IF(D10&gt;0,"Có","Không")</f>
        <v>Có</v>
      </c>
      <c r="G10" s="4" t="str">
        <f aca="false">IF(E10&gt;=2,"Có","Không")</f>
        <v>Không</v>
      </c>
    </row>
    <row r="11" customFormat="false" ht="15" hidden="false" customHeight="false" outlineLevel="0" collapsed="false">
      <c r="A11" s="4" t="s">
        <v>135</v>
      </c>
      <c r="B11" s="4" t="n">
        <f aca="false">COUNTIF('Chi tiết CUT'!$B$2:$B$181,A11)</f>
        <v>2</v>
      </c>
      <c r="C11" s="4" t="n">
        <f aca="false">COUNTIFS('Chi tiết CUT'!$B$2:$B$181,A11,'Chi tiết CUT'!$I$2:$I$181,"ELIGIBLE")</f>
        <v>0</v>
      </c>
      <c r="D11" s="4" t="n">
        <f aca="false">COUNTIFS('Chi tiết CUT'!$B$2:$B$181,A11,'Chi tiết CUT'!$L$2:$L$181,"ELIGIBLE")</f>
        <v>2</v>
      </c>
      <c r="E11" s="4" t="n">
        <f aca="false">SUMPRODUCT(('Chi tiết CUT'!$B$2:$B$181=A11)*('Chi tiết CUT'!$L$2:$L$181="ELIGIBLE")/COUNTIFS('Chi tiết CUT'!$B$2:$B$181,'Chi tiết CUT'!$B$2:$B$181,'Chi tiết CUT'!$C$2:$C$181,'Chi tiết CUT'!$C$2:$C$181,'Chi tiết CUT'!$L$2:$L$181,'Chi tiết CUT'!$L$2:$L$181))</f>
        <v>2</v>
      </c>
      <c r="F11" s="4" t="str">
        <f aca="false">IF(D11&gt;0,"Có","Không")</f>
        <v>Có</v>
      </c>
      <c r="G11" s="4" t="str">
        <f aca="false">IF(E11&gt;=2,"Có","Không")</f>
        <v>Có</v>
      </c>
    </row>
    <row r="12" customFormat="false" ht="15" hidden="false" customHeight="false" outlineLevel="0" collapsed="false">
      <c r="A12" s="4" t="s">
        <v>147</v>
      </c>
      <c r="B12" s="4" t="n">
        <f aca="false">COUNTIF('Chi tiết CUT'!$B$2:$B$181,A12)</f>
        <v>1</v>
      </c>
      <c r="C12" s="4" t="n">
        <f aca="false">COUNTIFS('Chi tiết CUT'!$B$2:$B$181,A12,'Chi tiết CUT'!$I$2:$I$181,"ELIGIBLE")</f>
        <v>0</v>
      </c>
      <c r="D12" s="4" t="n">
        <f aca="false">COUNTIFS('Chi tiết CUT'!$B$2:$B$181,A12,'Chi tiết CUT'!$L$2:$L$181,"ELIGIBLE")</f>
        <v>0</v>
      </c>
      <c r="E12" s="4" t="n">
        <f aca="false">SUMPRODUCT(('Chi tiết CUT'!$B$2:$B$181=A12)*('Chi tiết CUT'!$L$2:$L$181="ELIGIBLE")/COUNTIFS('Chi tiết CUT'!$B$2:$B$181,'Chi tiết CUT'!$B$2:$B$181,'Chi tiết CUT'!$C$2:$C$181,'Chi tiết CUT'!$C$2:$C$181,'Chi tiết CUT'!$L$2:$L$181,'Chi tiết CUT'!$L$2:$L$181))</f>
        <v>0</v>
      </c>
      <c r="F12" s="4" t="str">
        <f aca="false">IF(D12&gt;0,"Có","Không")</f>
        <v>Không</v>
      </c>
      <c r="G12" s="4" t="str">
        <f aca="false">IF(E12&gt;=2,"Có","Không")</f>
        <v>Không</v>
      </c>
    </row>
    <row r="13" customFormat="false" ht="15" hidden="false" customHeight="false" outlineLevel="0" collapsed="false">
      <c r="A13" s="4" t="s">
        <v>153</v>
      </c>
      <c r="B13" s="4" t="n">
        <f aca="false">COUNTIF('Chi tiết CUT'!$B$2:$B$181,A13)</f>
        <v>1</v>
      </c>
      <c r="C13" s="4" t="n">
        <f aca="false">COUNTIFS('Chi tiết CUT'!$B$2:$B$181,A13,'Chi tiết CUT'!$I$2:$I$181,"ELIGIBLE")</f>
        <v>0</v>
      </c>
      <c r="D13" s="4" t="n">
        <f aca="false">COUNTIFS('Chi tiết CUT'!$B$2:$B$181,A13,'Chi tiết CUT'!$L$2:$L$181,"ELIGIBLE")</f>
        <v>0</v>
      </c>
      <c r="E13" s="4" t="n">
        <f aca="false">SUMPRODUCT(('Chi tiết CUT'!$B$2:$B$181=A13)*('Chi tiết CUT'!$L$2:$L$181="ELIGIBLE")/COUNTIFS('Chi tiết CUT'!$B$2:$B$181,'Chi tiết CUT'!$B$2:$B$181,'Chi tiết CUT'!$C$2:$C$181,'Chi tiết CUT'!$C$2:$C$181,'Chi tiết CUT'!$L$2:$L$181,'Chi tiết CUT'!$L$2:$L$181))</f>
        <v>0</v>
      </c>
      <c r="F13" s="4" t="str">
        <f aca="false">IF(D13&gt;0,"Có","Không")</f>
        <v>Không</v>
      </c>
      <c r="G13" s="4" t="str">
        <f aca="false">IF(E13&gt;=2,"Có","Không")</f>
        <v>Không</v>
      </c>
    </row>
    <row r="14" customFormat="false" ht="15" hidden="false" customHeight="false" outlineLevel="0" collapsed="false">
      <c r="A14" s="4" t="s">
        <v>160</v>
      </c>
      <c r="B14" s="4" t="n">
        <f aca="false">COUNTIF('Chi tiết CUT'!$B$2:$B$181,A14)</f>
        <v>3</v>
      </c>
      <c r="C14" s="4" t="n">
        <f aca="false">COUNTIFS('Chi tiết CUT'!$B$2:$B$181,A14,'Chi tiết CUT'!$I$2:$I$181,"ELIGIBLE")</f>
        <v>0</v>
      </c>
      <c r="D14" s="4" t="n">
        <f aca="false">COUNTIFS('Chi tiết CUT'!$B$2:$B$181,A14,'Chi tiết CUT'!$L$2:$L$181,"ELIGIBLE")</f>
        <v>2</v>
      </c>
      <c r="E14" s="4" t="n">
        <f aca="false">SUMPRODUCT(('Chi tiết CUT'!$B$2:$B$181=A14)*('Chi tiết CUT'!$L$2:$L$181="ELIGIBLE")/COUNTIFS('Chi tiết CUT'!$B$2:$B$181,'Chi tiết CUT'!$B$2:$B$181,'Chi tiết CUT'!$C$2:$C$181,'Chi tiết CUT'!$C$2:$C$181,'Chi tiết CUT'!$L$2:$L$181,'Chi tiết CUT'!$L$2:$L$181))</f>
        <v>1</v>
      </c>
      <c r="F14" s="4" t="str">
        <f aca="false">IF(D14&gt;0,"Có","Không")</f>
        <v>Có</v>
      </c>
      <c r="G14" s="4" t="str">
        <f aca="false">IF(E14&gt;=2,"Có","Không")</f>
        <v>Không</v>
      </c>
    </row>
    <row r="15" customFormat="false" ht="15" hidden="false" customHeight="false" outlineLevel="0" collapsed="false">
      <c r="A15" s="4" t="s">
        <v>174</v>
      </c>
      <c r="B15" s="4" t="n">
        <f aca="false">COUNTIF('Chi tiết CUT'!$B$2:$B$181,A15)</f>
        <v>1</v>
      </c>
      <c r="C15" s="4" t="n">
        <f aca="false">COUNTIFS('Chi tiết CUT'!$B$2:$B$181,A15,'Chi tiết CUT'!$I$2:$I$181,"ELIGIBLE")</f>
        <v>1</v>
      </c>
      <c r="D15" s="4" t="n">
        <f aca="false">COUNTIFS('Chi tiết CUT'!$B$2:$B$181,A15,'Chi tiết CUT'!$L$2:$L$181,"ELIGIBLE")</f>
        <v>1</v>
      </c>
      <c r="E15" s="4" t="n">
        <f aca="false">SUMPRODUCT(('Chi tiết CUT'!$B$2:$B$181=A15)*('Chi tiết CUT'!$L$2:$L$181="ELIGIBLE")/COUNTIFS('Chi tiết CUT'!$B$2:$B$181,'Chi tiết CUT'!$B$2:$B$181,'Chi tiết CUT'!$C$2:$C$181,'Chi tiết CUT'!$C$2:$C$181,'Chi tiết CUT'!$L$2:$L$181,'Chi tiết CUT'!$L$2:$L$181))</f>
        <v>1</v>
      </c>
      <c r="F15" s="4" t="str">
        <f aca="false">IF(D15&gt;0,"Có","Không")</f>
        <v>Có</v>
      </c>
      <c r="G15" s="4" t="str">
        <f aca="false">IF(E15&gt;=2,"Có","Không")</f>
        <v>Không</v>
      </c>
    </row>
    <row r="16" customFormat="false" ht="15" hidden="false" customHeight="false" outlineLevel="0" collapsed="false">
      <c r="A16" s="4" t="s">
        <v>180</v>
      </c>
      <c r="B16" s="4" t="n">
        <f aca="false">COUNTIF('Chi tiết CUT'!$B$2:$B$181,A16)</f>
        <v>1</v>
      </c>
      <c r="C16" s="4" t="n">
        <f aca="false">COUNTIFS('Chi tiết CUT'!$B$2:$B$181,A16,'Chi tiết CUT'!$I$2:$I$181,"ELIGIBLE")</f>
        <v>1</v>
      </c>
      <c r="D16" s="4" t="n">
        <f aca="false">COUNTIFS('Chi tiết CUT'!$B$2:$B$181,A16,'Chi tiết CUT'!$L$2:$L$181,"ELIGIBLE")</f>
        <v>1</v>
      </c>
      <c r="E16" s="4" t="n">
        <f aca="false">SUMPRODUCT(('Chi tiết CUT'!$B$2:$B$181=A16)*('Chi tiết CUT'!$L$2:$L$181="ELIGIBLE")/COUNTIFS('Chi tiết CUT'!$B$2:$B$181,'Chi tiết CUT'!$B$2:$B$181,'Chi tiết CUT'!$C$2:$C$181,'Chi tiết CUT'!$C$2:$C$181,'Chi tiết CUT'!$L$2:$L$181,'Chi tiết CUT'!$L$2:$L$181))</f>
        <v>1</v>
      </c>
      <c r="F16" s="4" t="str">
        <f aca="false">IF(D16&gt;0,"Có","Không")</f>
        <v>Có</v>
      </c>
      <c r="G16" s="4" t="str">
        <f aca="false">IF(E16&gt;=2,"Có","Không")</f>
        <v>Không</v>
      </c>
    </row>
    <row r="17" customFormat="false" ht="15" hidden="false" customHeight="false" outlineLevel="0" collapsed="false">
      <c r="A17" s="4" t="s">
        <v>186</v>
      </c>
      <c r="B17" s="4" t="n">
        <f aca="false">COUNTIF('Chi tiết CUT'!$B$2:$B$181,A17)</f>
        <v>1</v>
      </c>
      <c r="C17" s="4" t="n">
        <f aca="false">COUNTIFS('Chi tiết CUT'!$B$2:$B$181,A17,'Chi tiết CUT'!$I$2:$I$181,"ELIGIBLE")</f>
        <v>0</v>
      </c>
      <c r="D17" s="4" t="n">
        <f aca="false">COUNTIFS('Chi tiết CUT'!$B$2:$B$181,A17,'Chi tiết CUT'!$L$2:$L$181,"ELIGIBLE")</f>
        <v>1</v>
      </c>
      <c r="E17" s="4" t="n">
        <f aca="false">SUMPRODUCT(('Chi tiết CUT'!$B$2:$B$181=A17)*('Chi tiết CUT'!$L$2:$L$181="ELIGIBLE")/COUNTIFS('Chi tiết CUT'!$B$2:$B$181,'Chi tiết CUT'!$B$2:$B$181,'Chi tiết CUT'!$C$2:$C$181,'Chi tiết CUT'!$C$2:$C$181,'Chi tiết CUT'!$L$2:$L$181,'Chi tiết CUT'!$L$2:$L$181))</f>
        <v>1</v>
      </c>
      <c r="F17" s="4" t="str">
        <f aca="false">IF(D17&gt;0,"Có","Không")</f>
        <v>Có</v>
      </c>
      <c r="G17" s="4" t="str">
        <f aca="false">IF(E17&gt;=2,"Có","Không")</f>
        <v>Không</v>
      </c>
    </row>
    <row r="18" customFormat="false" ht="15" hidden="false" customHeight="false" outlineLevel="0" collapsed="false">
      <c r="A18" s="4" t="s">
        <v>192</v>
      </c>
      <c r="B18" s="4" t="n">
        <f aca="false">COUNTIF('Chi tiết CUT'!$B$2:$B$181,A18)</f>
        <v>1</v>
      </c>
      <c r="C18" s="4" t="n">
        <f aca="false">COUNTIFS('Chi tiết CUT'!$B$2:$B$181,A18,'Chi tiết CUT'!$I$2:$I$181,"ELIGIBLE")</f>
        <v>0</v>
      </c>
      <c r="D18" s="4" t="n">
        <f aca="false">COUNTIFS('Chi tiết CUT'!$B$2:$B$181,A18,'Chi tiết CUT'!$L$2:$L$181,"ELIGIBLE")</f>
        <v>1</v>
      </c>
      <c r="E18" s="4" t="n">
        <f aca="false">SUMPRODUCT(('Chi tiết CUT'!$B$2:$B$181=A18)*('Chi tiết CUT'!$L$2:$L$181="ELIGIBLE")/COUNTIFS('Chi tiết CUT'!$B$2:$B$181,'Chi tiết CUT'!$B$2:$B$181,'Chi tiết CUT'!$C$2:$C$181,'Chi tiết CUT'!$C$2:$C$181,'Chi tiết CUT'!$L$2:$L$181,'Chi tiết CUT'!$L$2:$L$181))</f>
        <v>1</v>
      </c>
      <c r="F18" s="4" t="str">
        <f aca="false">IF(D18&gt;0,"Có","Không")</f>
        <v>Có</v>
      </c>
      <c r="G18" s="4" t="str">
        <f aca="false">IF(E18&gt;=2,"Có","Không")</f>
        <v>Không</v>
      </c>
    </row>
    <row r="19" customFormat="false" ht="15" hidden="false" customHeight="false" outlineLevel="0" collapsed="false">
      <c r="A19" s="4" t="s">
        <v>198</v>
      </c>
      <c r="B19" s="4" t="n">
        <f aca="false">COUNTIF('Chi tiết CUT'!$B$2:$B$181,A19)</f>
        <v>1</v>
      </c>
      <c r="C19" s="4" t="n">
        <f aca="false">COUNTIFS('Chi tiết CUT'!$B$2:$B$181,A19,'Chi tiết CUT'!$I$2:$I$181,"ELIGIBLE")</f>
        <v>0</v>
      </c>
      <c r="D19" s="4" t="n">
        <f aca="false">COUNTIFS('Chi tiết CUT'!$B$2:$B$181,A19,'Chi tiết CUT'!$L$2:$L$181,"ELIGIBLE")</f>
        <v>0</v>
      </c>
      <c r="E19" s="4" t="n">
        <f aca="false">SUMPRODUCT(('Chi tiết CUT'!$B$2:$B$181=A19)*('Chi tiết CUT'!$L$2:$L$181="ELIGIBLE")/COUNTIFS('Chi tiết CUT'!$B$2:$B$181,'Chi tiết CUT'!$B$2:$B$181,'Chi tiết CUT'!$C$2:$C$181,'Chi tiết CUT'!$C$2:$C$181,'Chi tiết CUT'!$L$2:$L$181,'Chi tiết CUT'!$L$2:$L$181))</f>
        <v>0</v>
      </c>
      <c r="F19" s="4" t="str">
        <f aca="false">IF(D19&gt;0,"Có","Không")</f>
        <v>Không</v>
      </c>
      <c r="G19" s="4" t="str">
        <f aca="false">IF(E19&gt;=2,"Có","Không")</f>
        <v>Không</v>
      </c>
    </row>
    <row r="20" customFormat="false" ht="15" hidden="false" customHeight="false" outlineLevel="0" collapsed="false">
      <c r="A20" s="4" t="s">
        <v>205</v>
      </c>
      <c r="B20" s="4" t="n">
        <f aca="false">COUNTIF('Chi tiết CUT'!$B$2:$B$181,A20)</f>
        <v>1</v>
      </c>
      <c r="C20" s="4" t="n">
        <f aca="false">COUNTIFS('Chi tiết CUT'!$B$2:$B$181,A20,'Chi tiết CUT'!$I$2:$I$181,"ELIGIBLE")</f>
        <v>1</v>
      </c>
      <c r="D20" s="4" t="n">
        <f aca="false">COUNTIFS('Chi tiết CUT'!$B$2:$B$181,A20,'Chi tiết CUT'!$L$2:$L$181,"ELIGIBLE")</f>
        <v>1</v>
      </c>
      <c r="E20" s="4" t="n">
        <f aca="false">SUMPRODUCT(('Chi tiết CUT'!$B$2:$B$181=A20)*('Chi tiết CUT'!$L$2:$L$181="ELIGIBLE")/COUNTIFS('Chi tiết CUT'!$B$2:$B$181,'Chi tiết CUT'!$B$2:$B$181,'Chi tiết CUT'!$C$2:$C$181,'Chi tiết CUT'!$C$2:$C$181,'Chi tiết CUT'!$L$2:$L$181,'Chi tiết CUT'!$L$2:$L$181))</f>
        <v>1</v>
      </c>
      <c r="F20" s="4" t="str">
        <f aca="false">IF(D20&gt;0,"Có","Không")</f>
        <v>Có</v>
      </c>
      <c r="G20" s="4" t="str">
        <f aca="false">IF(E20&gt;=2,"Có","Không")</f>
        <v>Không</v>
      </c>
    </row>
    <row r="21" customFormat="false" ht="15" hidden="false" customHeight="false" outlineLevel="0" collapsed="false">
      <c r="A21" s="4" t="s">
        <v>211</v>
      </c>
      <c r="B21" s="4" t="n">
        <f aca="false">COUNTIF('Chi tiết CUT'!$B$2:$B$181,A21)</f>
        <v>1</v>
      </c>
      <c r="C21" s="4" t="n">
        <f aca="false">COUNTIFS('Chi tiết CUT'!$B$2:$B$181,A21,'Chi tiết CUT'!$I$2:$I$181,"ELIGIBLE")</f>
        <v>1</v>
      </c>
      <c r="D21" s="4" t="n">
        <f aca="false">COUNTIFS('Chi tiết CUT'!$B$2:$B$181,A21,'Chi tiết CUT'!$L$2:$L$181,"ELIGIBLE")</f>
        <v>1</v>
      </c>
      <c r="E21" s="4" t="n">
        <f aca="false">SUMPRODUCT(('Chi tiết CUT'!$B$2:$B$181=A21)*('Chi tiết CUT'!$L$2:$L$181="ELIGIBLE")/COUNTIFS('Chi tiết CUT'!$B$2:$B$181,'Chi tiết CUT'!$B$2:$B$181,'Chi tiết CUT'!$C$2:$C$181,'Chi tiết CUT'!$C$2:$C$181,'Chi tiết CUT'!$L$2:$L$181,'Chi tiết CUT'!$L$2:$L$181))</f>
        <v>1</v>
      </c>
      <c r="F21" s="4" t="str">
        <f aca="false">IF(D21&gt;0,"Có","Không")</f>
        <v>Có</v>
      </c>
      <c r="G21" s="4" t="str">
        <f aca="false">IF(E21&gt;=2,"Có","Không")</f>
        <v>Không</v>
      </c>
    </row>
    <row r="22" customFormat="false" ht="15" hidden="false" customHeight="false" outlineLevel="0" collapsed="false">
      <c r="A22" s="4" t="s">
        <v>217</v>
      </c>
      <c r="B22" s="4" t="n">
        <f aca="false">COUNTIF('Chi tiết CUT'!$B$2:$B$181,A22)</f>
        <v>1</v>
      </c>
      <c r="C22" s="4" t="n">
        <f aca="false">COUNTIFS('Chi tiết CUT'!$B$2:$B$181,A22,'Chi tiết CUT'!$I$2:$I$181,"ELIGIBLE")</f>
        <v>1</v>
      </c>
      <c r="D22" s="4" t="n">
        <f aca="false">COUNTIFS('Chi tiết CUT'!$B$2:$B$181,A22,'Chi tiết CUT'!$L$2:$L$181,"ELIGIBLE")</f>
        <v>1</v>
      </c>
      <c r="E22" s="4" t="n">
        <f aca="false">SUMPRODUCT(('Chi tiết CUT'!$B$2:$B$181=A22)*('Chi tiết CUT'!$L$2:$L$181="ELIGIBLE")/COUNTIFS('Chi tiết CUT'!$B$2:$B$181,'Chi tiết CUT'!$B$2:$B$181,'Chi tiết CUT'!$C$2:$C$181,'Chi tiết CUT'!$C$2:$C$181,'Chi tiết CUT'!$L$2:$L$181,'Chi tiết CUT'!$L$2:$L$181))</f>
        <v>1</v>
      </c>
      <c r="F22" s="4" t="str">
        <f aca="false">IF(D22&gt;0,"Có","Không")</f>
        <v>Có</v>
      </c>
      <c r="G22" s="4" t="str">
        <f aca="false">IF(E22&gt;=2,"Có","Không")</f>
        <v>Không</v>
      </c>
    </row>
    <row r="23" customFormat="false" ht="15" hidden="false" customHeight="false" outlineLevel="0" collapsed="false">
      <c r="A23" s="4" t="s">
        <v>223</v>
      </c>
      <c r="B23" s="4" t="n">
        <f aca="false">COUNTIF('Chi tiết CUT'!$B$2:$B$181,A23)</f>
        <v>32</v>
      </c>
      <c r="C23" s="4" t="n">
        <f aca="false">COUNTIFS('Chi tiết CUT'!$B$2:$B$181,A23,'Chi tiết CUT'!$I$2:$I$181,"ELIGIBLE")</f>
        <v>22</v>
      </c>
      <c r="D23" s="4" t="n">
        <f aca="false">COUNTIFS('Chi tiết CUT'!$B$2:$B$181,A23,'Chi tiết CUT'!$L$2:$L$181,"ELIGIBLE")</f>
        <v>26</v>
      </c>
      <c r="E23" s="4" t="n">
        <f aca="false">SUMPRODUCT(('Chi tiết CUT'!$B$2:$B$181=A23)*('Chi tiết CUT'!$L$2:$L$181="ELIGIBLE")/COUNTIFS('Chi tiết CUT'!$B$2:$B$181,'Chi tiết CUT'!$B$2:$B$181,'Chi tiết CUT'!$C$2:$C$181,'Chi tiết CUT'!$C$2:$C$181,'Chi tiết CUT'!$L$2:$L$181,'Chi tiết CUT'!$L$2:$L$181))</f>
        <v>24</v>
      </c>
      <c r="F23" s="4" t="str">
        <f aca="false">IF(D23&gt;0,"Có","Không")</f>
        <v>Có</v>
      </c>
      <c r="G23" s="4" t="str">
        <f aca="false">IF(E23&gt;=2,"Có","Không")</f>
        <v>Có</v>
      </c>
    </row>
    <row r="24" customFormat="false" ht="15" hidden="false" customHeight="false" outlineLevel="0" collapsed="false">
      <c r="A24" s="4" t="s">
        <v>339</v>
      </c>
      <c r="B24" s="4" t="n">
        <f aca="false">COUNTIF('Chi tiết CUT'!$B$2:$B$181,A24)</f>
        <v>3</v>
      </c>
      <c r="C24" s="4" t="n">
        <f aca="false">COUNTIFS('Chi tiết CUT'!$B$2:$B$181,A24,'Chi tiết CUT'!$I$2:$I$181,"ELIGIBLE")</f>
        <v>0</v>
      </c>
      <c r="D24" s="4" t="n">
        <f aca="false">COUNTIFS('Chi tiết CUT'!$B$2:$B$181,A24,'Chi tiết CUT'!$L$2:$L$181,"ELIGIBLE")</f>
        <v>0</v>
      </c>
      <c r="E24" s="4" t="n">
        <f aca="false">SUMPRODUCT(('Chi tiết CUT'!$B$2:$B$181=A24)*('Chi tiết CUT'!$L$2:$L$181="ELIGIBLE")/COUNTIFS('Chi tiết CUT'!$B$2:$B$181,'Chi tiết CUT'!$B$2:$B$181,'Chi tiết CUT'!$C$2:$C$181,'Chi tiết CUT'!$C$2:$C$181,'Chi tiết CUT'!$L$2:$L$181,'Chi tiết CUT'!$L$2:$L$181))</f>
        <v>0</v>
      </c>
      <c r="F24" s="4" t="str">
        <f aca="false">IF(D24&gt;0,"Có","Không")</f>
        <v>Không</v>
      </c>
      <c r="G24" s="4" t="str">
        <f aca="false">IF(E24&gt;=2,"Có","Không")</f>
        <v>Không</v>
      </c>
    </row>
    <row r="25" customFormat="false" ht="15" hidden="false" customHeight="false" outlineLevel="0" collapsed="false">
      <c r="A25" s="4" t="s">
        <v>351</v>
      </c>
      <c r="B25" s="4" t="n">
        <f aca="false">COUNTIF('Chi tiết CUT'!$B$2:$B$181,A25)</f>
        <v>3</v>
      </c>
      <c r="C25" s="4" t="n">
        <f aca="false">COUNTIFS('Chi tiết CUT'!$B$2:$B$181,A25,'Chi tiết CUT'!$I$2:$I$181,"ELIGIBLE")</f>
        <v>3</v>
      </c>
      <c r="D25" s="4" t="n">
        <f aca="false">COUNTIFS('Chi tiết CUT'!$B$2:$B$181,A25,'Chi tiết CUT'!$L$2:$L$181,"ELIGIBLE")</f>
        <v>3</v>
      </c>
      <c r="E25" s="4" t="n">
        <f aca="false">SUMPRODUCT(('Chi tiết CUT'!$B$2:$B$181=A25)*('Chi tiết CUT'!$L$2:$L$181="ELIGIBLE")/COUNTIFS('Chi tiết CUT'!$B$2:$B$181,'Chi tiết CUT'!$B$2:$B$181,'Chi tiết CUT'!$C$2:$C$181,'Chi tiết CUT'!$C$2:$C$181,'Chi tiết CUT'!$L$2:$L$181,'Chi tiết CUT'!$L$2:$L$181))</f>
        <v>2</v>
      </c>
      <c r="F25" s="4" t="str">
        <f aca="false">IF(D25&gt;0,"Có","Không")</f>
        <v>Có</v>
      </c>
      <c r="G25" s="4" t="str">
        <f aca="false">IF(E25&gt;=2,"Có","Không")</f>
        <v>Có</v>
      </c>
    </row>
    <row r="26" customFormat="false" ht="15" hidden="false" customHeight="false" outlineLevel="0" collapsed="false">
      <c r="A26" s="4" t="s">
        <v>365</v>
      </c>
      <c r="B26" s="4" t="n">
        <f aca="false">COUNTIF('Chi tiết CUT'!$B$2:$B$181,A26)</f>
        <v>4</v>
      </c>
      <c r="C26" s="4" t="n">
        <f aca="false">COUNTIFS('Chi tiết CUT'!$B$2:$B$181,A26,'Chi tiết CUT'!$I$2:$I$181,"ELIGIBLE")</f>
        <v>2</v>
      </c>
      <c r="D26" s="4" t="n">
        <f aca="false">COUNTIFS('Chi tiết CUT'!$B$2:$B$181,A26,'Chi tiết CUT'!$L$2:$L$181,"ELIGIBLE")</f>
        <v>2</v>
      </c>
      <c r="E26" s="4" t="n">
        <f aca="false">SUMPRODUCT(('Chi tiết CUT'!$B$2:$B$181=A26)*('Chi tiết CUT'!$L$2:$L$181="ELIGIBLE")/COUNTIFS('Chi tiết CUT'!$B$2:$B$181,'Chi tiết CUT'!$B$2:$B$181,'Chi tiết CUT'!$C$2:$C$181,'Chi tiết CUT'!$C$2:$C$181,'Chi tiết CUT'!$L$2:$L$181,'Chi tiết CUT'!$L$2:$L$181))</f>
        <v>2</v>
      </c>
      <c r="F26" s="4" t="str">
        <f aca="false">IF(D26&gt;0,"Có","Không")</f>
        <v>Có</v>
      </c>
      <c r="G26" s="4" t="str">
        <f aca="false">IF(E26&gt;=2,"Có","Không")</f>
        <v>Có</v>
      </c>
    </row>
    <row r="27" customFormat="false" ht="15" hidden="false" customHeight="false" outlineLevel="0" collapsed="false">
      <c r="A27" s="4" t="s">
        <v>385</v>
      </c>
      <c r="B27" s="4" t="n">
        <f aca="false">COUNTIF('Chi tiết CUT'!$B$2:$B$181,A27)</f>
        <v>1</v>
      </c>
      <c r="C27" s="4" t="n">
        <f aca="false">COUNTIFS('Chi tiết CUT'!$B$2:$B$181,A27,'Chi tiết CUT'!$I$2:$I$181,"ELIGIBLE")</f>
        <v>1</v>
      </c>
      <c r="D27" s="4" t="n">
        <f aca="false">COUNTIFS('Chi tiết CUT'!$B$2:$B$181,A27,'Chi tiết CUT'!$L$2:$L$181,"ELIGIBLE")</f>
        <v>1</v>
      </c>
      <c r="E27" s="4" t="n">
        <f aca="false">SUMPRODUCT(('Chi tiết CUT'!$B$2:$B$181=A27)*('Chi tiết CUT'!$L$2:$L$181="ELIGIBLE")/COUNTIFS('Chi tiết CUT'!$B$2:$B$181,'Chi tiết CUT'!$B$2:$B$181,'Chi tiết CUT'!$C$2:$C$181,'Chi tiết CUT'!$C$2:$C$181,'Chi tiết CUT'!$L$2:$L$181,'Chi tiết CUT'!$L$2:$L$181))</f>
        <v>1</v>
      </c>
      <c r="F27" s="4" t="str">
        <f aca="false">IF(D27&gt;0,"Có","Không")</f>
        <v>Có</v>
      </c>
      <c r="G27" s="4" t="str">
        <f aca="false">IF(E27&gt;=2,"Có","Không")</f>
        <v>Không</v>
      </c>
    </row>
    <row r="28" customFormat="false" ht="15" hidden="false" customHeight="false" outlineLevel="0" collapsed="false">
      <c r="A28" s="4" t="s">
        <v>391</v>
      </c>
      <c r="B28" s="4" t="n">
        <f aca="false">COUNTIF('Chi tiết CUT'!$B$2:$B$181,A28)</f>
        <v>1</v>
      </c>
      <c r="C28" s="4" t="n">
        <f aca="false">COUNTIFS('Chi tiết CUT'!$B$2:$B$181,A28,'Chi tiết CUT'!$I$2:$I$181,"ELIGIBLE")</f>
        <v>1</v>
      </c>
      <c r="D28" s="4" t="n">
        <f aca="false">COUNTIFS('Chi tiết CUT'!$B$2:$B$181,A28,'Chi tiết CUT'!$L$2:$L$181,"ELIGIBLE")</f>
        <v>1</v>
      </c>
      <c r="E28" s="4" t="n">
        <f aca="false">SUMPRODUCT(('Chi tiết CUT'!$B$2:$B$181=A28)*('Chi tiết CUT'!$L$2:$L$181="ELIGIBLE")/COUNTIFS('Chi tiết CUT'!$B$2:$B$181,'Chi tiết CUT'!$B$2:$B$181,'Chi tiết CUT'!$C$2:$C$181,'Chi tiết CUT'!$C$2:$C$181,'Chi tiết CUT'!$L$2:$L$181,'Chi tiết CUT'!$L$2:$L$181))</f>
        <v>1</v>
      </c>
      <c r="F28" s="4" t="str">
        <f aca="false">IF(D28&gt;0,"Có","Không")</f>
        <v>Có</v>
      </c>
      <c r="G28" s="4" t="str">
        <f aca="false">IF(E28&gt;=2,"Có","Không")</f>
        <v>Không</v>
      </c>
    </row>
    <row r="29" customFormat="false" ht="15" hidden="false" customHeight="false" outlineLevel="0" collapsed="false">
      <c r="A29" s="4" t="s">
        <v>397</v>
      </c>
      <c r="B29" s="4" t="n">
        <f aca="false">COUNTIF('Chi tiết CUT'!$B$2:$B$181,A29)</f>
        <v>1</v>
      </c>
      <c r="C29" s="4" t="n">
        <f aca="false">COUNTIFS('Chi tiết CUT'!$B$2:$B$181,A29,'Chi tiết CUT'!$I$2:$I$181,"ELIGIBLE")</f>
        <v>1</v>
      </c>
      <c r="D29" s="4" t="n">
        <f aca="false">COUNTIFS('Chi tiết CUT'!$B$2:$B$181,A29,'Chi tiết CUT'!$L$2:$L$181,"ELIGIBLE")</f>
        <v>1</v>
      </c>
      <c r="E29" s="4" t="n">
        <f aca="false">SUMPRODUCT(('Chi tiết CUT'!$B$2:$B$181=A29)*('Chi tiết CUT'!$L$2:$L$181="ELIGIBLE")/COUNTIFS('Chi tiết CUT'!$B$2:$B$181,'Chi tiết CUT'!$B$2:$B$181,'Chi tiết CUT'!$C$2:$C$181,'Chi tiết CUT'!$C$2:$C$181,'Chi tiết CUT'!$L$2:$L$181,'Chi tiết CUT'!$L$2:$L$181))</f>
        <v>1</v>
      </c>
      <c r="F29" s="4" t="str">
        <f aca="false">IF(D29&gt;0,"Có","Không")</f>
        <v>Có</v>
      </c>
      <c r="G29" s="4" t="str">
        <f aca="false">IF(E29&gt;=2,"Có","Không")</f>
        <v>Không</v>
      </c>
    </row>
    <row r="30" customFormat="false" ht="15" hidden="false" customHeight="false" outlineLevel="0" collapsed="false">
      <c r="A30" s="4" t="s">
        <v>403</v>
      </c>
      <c r="B30" s="4" t="n">
        <f aca="false">COUNTIF('Chi tiết CUT'!$B$2:$B$181,A30)</f>
        <v>1</v>
      </c>
      <c r="C30" s="4" t="n">
        <f aca="false">COUNTIFS('Chi tiết CUT'!$B$2:$B$181,A30,'Chi tiết CUT'!$I$2:$I$181,"ELIGIBLE")</f>
        <v>1</v>
      </c>
      <c r="D30" s="4" t="n">
        <f aca="false">COUNTIFS('Chi tiết CUT'!$B$2:$B$181,A30,'Chi tiết CUT'!$L$2:$L$181,"ELIGIBLE")</f>
        <v>1</v>
      </c>
      <c r="E30" s="4" t="n">
        <f aca="false">SUMPRODUCT(('Chi tiết CUT'!$B$2:$B$181=A30)*('Chi tiết CUT'!$L$2:$L$181="ELIGIBLE")/COUNTIFS('Chi tiết CUT'!$B$2:$B$181,'Chi tiết CUT'!$B$2:$B$181,'Chi tiết CUT'!$C$2:$C$181,'Chi tiết CUT'!$C$2:$C$181,'Chi tiết CUT'!$L$2:$L$181,'Chi tiết CUT'!$L$2:$L$181))</f>
        <v>1</v>
      </c>
      <c r="F30" s="4" t="str">
        <f aca="false">IF(D30&gt;0,"Có","Không")</f>
        <v>Có</v>
      </c>
      <c r="G30" s="4" t="str">
        <f aca="false">IF(E30&gt;=2,"Có","Không")</f>
        <v>Không</v>
      </c>
    </row>
    <row r="31" customFormat="false" ht="15" hidden="false" customHeight="false" outlineLevel="0" collapsed="false">
      <c r="A31" s="4" t="s">
        <v>409</v>
      </c>
      <c r="B31" s="4" t="n">
        <f aca="false">COUNTIF('Chi tiết CUT'!$B$2:$B$181,A31)</f>
        <v>2</v>
      </c>
      <c r="C31" s="4" t="n">
        <f aca="false">COUNTIFS('Chi tiết CUT'!$B$2:$B$181,A31,'Chi tiết CUT'!$I$2:$I$181,"ELIGIBLE")</f>
        <v>0</v>
      </c>
      <c r="D31" s="4" t="n">
        <f aca="false">COUNTIFS('Chi tiết CUT'!$B$2:$B$181,A31,'Chi tiết CUT'!$L$2:$L$181,"ELIGIBLE")</f>
        <v>0</v>
      </c>
      <c r="E31" s="4" t="n">
        <f aca="false">SUMPRODUCT(('Chi tiết CUT'!$B$2:$B$181=A31)*('Chi tiết CUT'!$L$2:$L$181="ELIGIBLE")/COUNTIFS('Chi tiết CUT'!$B$2:$B$181,'Chi tiết CUT'!$B$2:$B$181,'Chi tiết CUT'!$C$2:$C$181,'Chi tiết CUT'!$C$2:$C$181,'Chi tiết CUT'!$L$2:$L$181,'Chi tiết CUT'!$L$2:$L$181))</f>
        <v>0</v>
      </c>
      <c r="F31" s="4" t="str">
        <f aca="false">IF(D31&gt;0,"Có","Không")</f>
        <v>Không</v>
      </c>
      <c r="G31" s="4" t="str">
        <f aca="false">IF(E31&gt;=2,"Có","Không")</f>
        <v>Không</v>
      </c>
    </row>
    <row r="32" customFormat="false" ht="15" hidden="false" customHeight="false" outlineLevel="0" collapsed="false">
      <c r="A32" s="4" t="s">
        <v>421</v>
      </c>
      <c r="B32" s="4" t="n">
        <f aca="false">COUNTIF('Chi tiết CUT'!$B$2:$B$181,A32)</f>
        <v>3</v>
      </c>
      <c r="C32" s="4" t="n">
        <f aca="false">COUNTIFS('Chi tiết CUT'!$B$2:$B$181,A32,'Chi tiết CUT'!$I$2:$I$181,"ELIGIBLE")</f>
        <v>0</v>
      </c>
      <c r="D32" s="4" t="n">
        <f aca="false">COUNTIFS('Chi tiết CUT'!$B$2:$B$181,A32,'Chi tiết CUT'!$L$2:$L$181,"ELIGIBLE")</f>
        <v>0</v>
      </c>
      <c r="E32" s="4" t="n">
        <f aca="false">SUMPRODUCT(('Chi tiết CUT'!$B$2:$B$181=A32)*('Chi tiết CUT'!$L$2:$L$181="ELIGIBLE")/COUNTIFS('Chi tiết CUT'!$B$2:$B$181,'Chi tiết CUT'!$B$2:$B$181,'Chi tiết CUT'!$C$2:$C$181,'Chi tiết CUT'!$C$2:$C$181,'Chi tiết CUT'!$L$2:$L$181,'Chi tiết CUT'!$L$2:$L$181))</f>
        <v>0</v>
      </c>
      <c r="F32" s="4" t="str">
        <f aca="false">IF(D32&gt;0,"Có","Không")</f>
        <v>Không</v>
      </c>
      <c r="G32" s="4" t="str">
        <f aca="false">IF(E32&gt;=2,"Có","Không")</f>
        <v>Không</v>
      </c>
    </row>
    <row r="33" customFormat="false" ht="15" hidden="false" customHeight="false" outlineLevel="0" collapsed="false">
      <c r="A33" s="4" t="s">
        <v>438</v>
      </c>
      <c r="B33" s="4" t="n">
        <f aca="false">COUNTIF('Chi tiết CUT'!$B$2:$B$181,A33)</f>
        <v>4</v>
      </c>
      <c r="C33" s="4" t="n">
        <f aca="false">COUNTIFS('Chi tiết CUT'!$B$2:$B$181,A33,'Chi tiết CUT'!$I$2:$I$181,"ELIGIBLE")</f>
        <v>0</v>
      </c>
      <c r="D33" s="4" t="n">
        <f aca="false">COUNTIFS('Chi tiết CUT'!$B$2:$B$181,A33,'Chi tiết CUT'!$L$2:$L$181,"ELIGIBLE")</f>
        <v>3</v>
      </c>
      <c r="E33" s="4" t="n">
        <f aca="false">SUMPRODUCT(('Chi tiết CUT'!$B$2:$B$181=A33)*('Chi tiết CUT'!$L$2:$L$181="ELIGIBLE")/COUNTIFS('Chi tiết CUT'!$B$2:$B$181,'Chi tiết CUT'!$B$2:$B$181,'Chi tiết CUT'!$C$2:$C$181,'Chi tiết CUT'!$C$2:$C$181,'Chi tiết CUT'!$L$2:$L$181,'Chi tiết CUT'!$L$2:$L$181))</f>
        <v>1</v>
      </c>
      <c r="F33" s="4" t="str">
        <f aca="false">IF(D33&gt;0,"Có","Không")</f>
        <v>Có</v>
      </c>
      <c r="G33" s="4" t="str">
        <f aca="false">IF(E33&gt;=2,"Có","Không")</f>
        <v>Không</v>
      </c>
    </row>
    <row r="34" customFormat="false" ht="15" hidden="false" customHeight="false" outlineLevel="0" collapsed="false">
      <c r="A34" s="4" t="s">
        <v>455</v>
      </c>
      <c r="B34" s="4" t="n">
        <f aca="false">COUNTIF('Chi tiết CUT'!$B$2:$B$181,A34)</f>
        <v>3</v>
      </c>
      <c r="C34" s="4" t="n">
        <f aca="false">COUNTIFS('Chi tiết CUT'!$B$2:$B$181,A34,'Chi tiết CUT'!$I$2:$I$181,"ELIGIBLE")</f>
        <v>0</v>
      </c>
      <c r="D34" s="4" t="n">
        <f aca="false">COUNTIFS('Chi tiết CUT'!$B$2:$B$181,A34,'Chi tiết CUT'!$L$2:$L$181,"ELIGIBLE")</f>
        <v>1</v>
      </c>
      <c r="E34" s="4" t="n">
        <f aca="false">SUMPRODUCT(('Chi tiết CUT'!$B$2:$B$181=A34)*('Chi tiết CUT'!$L$2:$L$181="ELIGIBLE")/COUNTIFS('Chi tiết CUT'!$B$2:$B$181,'Chi tiết CUT'!$B$2:$B$181,'Chi tiết CUT'!$C$2:$C$181,'Chi tiết CUT'!$C$2:$C$181,'Chi tiết CUT'!$L$2:$L$181,'Chi tiết CUT'!$L$2:$L$181))</f>
        <v>1</v>
      </c>
      <c r="F34" s="4" t="str">
        <f aca="false">IF(D34&gt;0,"Có","Không")</f>
        <v>Có</v>
      </c>
      <c r="G34" s="4" t="str">
        <f aca="false">IF(E34&gt;=2,"Có","Không")</f>
        <v>Không</v>
      </c>
    </row>
    <row r="35" customFormat="false" ht="15" hidden="false" customHeight="false" outlineLevel="0" collapsed="false">
      <c r="A35" s="4" t="s">
        <v>471</v>
      </c>
      <c r="B35" s="4" t="n">
        <f aca="false">COUNTIF('Chi tiết CUT'!$B$2:$B$181,A35)</f>
        <v>91</v>
      </c>
      <c r="C35" s="4" t="n">
        <f aca="false">COUNTIFS('Chi tiết CUT'!$B$2:$B$181,A35,'Chi tiết CUT'!$I$2:$I$181,"ELIGIBLE")</f>
        <v>51</v>
      </c>
      <c r="D35" s="4" t="n">
        <f aca="false">COUNTIFS('Chi tiết CUT'!$B$2:$B$181,A35,'Chi tiết CUT'!$L$2:$L$181,"ELIGIBLE")</f>
        <v>91</v>
      </c>
      <c r="E35" s="4" t="n">
        <f aca="false">SUMPRODUCT(('Chi tiết CUT'!$B$2:$B$181=A35)*('Chi tiết CUT'!$L$2:$L$181="ELIGIBLE")/COUNTIFS('Chi tiết CUT'!$B$2:$B$181,'Chi tiết CUT'!$B$2:$B$181,'Chi tiết CUT'!$C$2:$C$181,'Chi tiết CUT'!$C$2:$C$181,'Chi tiết CUT'!$L$2:$L$181,'Chi tiết CUT'!$L$2:$L$181))</f>
        <v>80</v>
      </c>
      <c r="F35" s="4" t="str">
        <f aca="false">IF(D35&gt;0,"Có","Không")</f>
        <v>Có</v>
      </c>
      <c r="G35" s="4" t="str">
        <f aca="false">IF(E35&gt;=2,"Có","Không")</f>
        <v>Có</v>
      </c>
    </row>
    <row r="36" customFormat="false" ht="15" hidden="false" customHeight="false" outlineLevel="0" collapsed="false">
      <c r="A36" s="4" t="s">
        <v>805</v>
      </c>
      <c r="B36" s="4" t="n">
        <f aca="false">COUNTIF('Chi tiết CUT'!$B$2:$B$181,A36)</f>
        <v>1</v>
      </c>
      <c r="C36" s="4" t="n">
        <f aca="false">COUNTIFS('Chi tiết CUT'!$B$2:$B$181,A36,'Chi tiết CUT'!$I$2:$I$181,"ELIGIBLE")</f>
        <v>0</v>
      </c>
      <c r="D36" s="4" t="n">
        <f aca="false">COUNTIFS('Chi tiết CUT'!$B$2:$B$181,A36,'Chi tiết CUT'!$L$2:$L$181,"ELIGIBLE")</f>
        <v>0</v>
      </c>
      <c r="E36" s="4" t="n">
        <f aca="false">SUMPRODUCT(('Chi tiết CUT'!$B$2:$B$181=A36)*('Chi tiết CUT'!$L$2:$L$181="ELIGIBLE")/COUNTIFS('Chi tiết CUT'!$B$2:$B$181,'Chi tiết CUT'!$B$2:$B$181,'Chi tiết CUT'!$C$2:$C$181,'Chi tiết CUT'!$C$2:$C$181,'Chi tiết CUT'!$L$2:$L$181,'Chi tiết CUT'!$L$2:$L$181))</f>
        <v>0</v>
      </c>
      <c r="F36" s="4" t="str">
        <f aca="false">IF(D36&gt;0,"Có","Không")</f>
        <v>Không</v>
      </c>
      <c r="G36" s="4" t="str">
        <f aca="false">IF(E36&gt;=2,"Có","Không")</f>
        <v>Không</v>
      </c>
    </row>
    <row r="37" customFormat="false" ht="15" hidden="false" customHeight="false" outlineLevel="0" collapsed="false">
      <c r="A37" s="11" t="s">
        <v>967</v>
      </c>
      <c r="B37" s="11" t="n">
        <f aca="false">SUM(B2:B36)</f>
        <v>180</v>
      </c>
      <c r="C37" s="11" t="n">
        <f aca="false">SUM(C2:C36)</f>
        <v>96</v>
      </c>
      <c r="D37" s="11" t="n">
        <f aca="false">SUM(D2:D36)</f>
        <v>152</v>
      </c>
      <c r="E37" s="11" t="n">
        <f aca="false">SUM(E2:E36)</f>
        <v>135</v>
      </c>
      <c r="F37" s="11" t="n">
        <f aca="false">COUNTIF(F2:F36,"Có")</f>
        <v>25</v>
      </c>
      <c r="G37" s="11" t="n">
        <f aca="false">COUNTIF(G2:G36,"Có")</f>
        <v>8</v>
      </c>
    </row>
  </sheetData>
  <autoFilter ref="A1:G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3" t="s">
        <v>968</v>
      </c>
      <c r="B1" s="3" t="s">
        <v>969</v>
      </c>
      <c r="C1" s="3" t="s">
        <v>970</v>
      </c>
      <c r="D1" s="3" t="s">
        <v>971</v>
      </c>
      <c r="E1" s="3" t="s">
        <v>972</v>
      </c>
    </row>
    <row r="2" customFormat="false" ht="15" hidden="false" customHeight="false" outlineLevel="0" collapsed="false">
      <c r="A2" s="4" t="s">
        <v>48</v>
      </c>
      <c r="B2" s="4" t="n">
        <f aca="false">COUNTIF('Chi tiết CUT'!$I$2:$I$181,A2)</f>
        <v>96</v>
      </c>
      <c r="C2" s="4" t="n">
        <f aca="false">COUNTIF('Chi tiết CUT'!$L$2:$L$181,A2)</f>
        <v>152</v>
      </c>
      <c r="D2" s="4" t="n">
        <f aca="false">C2-B2</f>
        <v>56</v>
      </c>
      <c r="E2" s="12" t="s">
        <v>973</v>
      </c>
    </row>
    <row r="3" customFormat="false" ht="23.85" hidden="false" customHeight="false" outlineLevel="0" collapsed="false">
      <c r="A3" s="4" t="s">
        <v>126</v>
      </c>
      <c r="B3" s="4" t="n">
        <f aca="false">COUNTIF('Chi tiết CUT'!$I$2:$I$181,A3)</f>
        <v>55</v>
      </c>
      <c r="C3" s="4" t="n">
        <f aca="false">COUNTIF('Chi tiết CUT'!$L$2:$L$181,A3)</f>
        <v>1</v>
      </c>
      <c r="D3" s="4" t="n">
        <f aca="false">C3-B3</f>
        <v>-54</v>
      </c>
      <c r="E3" s="12" t="s">
        <v>974</v>
      </c>
    </row>
    <row r="4" customFormat="false" ht="15" hidden="false" customHeight="false" outlineLevel="0" collapsed="false">
      <c r="A4" s="4" t="s">
        <v>171</v>
      </c>
      <c r="B4" s="4" t="n">
        <f aca="false">COUNTIF('Chi tiết CUT'!$I$2:$I$181,A4)</f>
        <v>13</v>
      </c>
      <c r="C4" s="4" t="n">
        <f aca="false">COUNTIF('Chi tiết CUT'!$L$2:$L$181,A4)</f>
        <v>13</v>
      </c>
      <c r="D4" s="4" t="n">
        <f aca="false">C4-B4</f>
        <v>0</v>
      </c>
      <c r="E4" s="12" t="s">
        <v>975</v>
      </c>
    </row>
    <row r="5" customFormat="false" ht="15" hidden="false" customHeight="false" outlineLevel="0" collapsed="false">
      <c r="A5" s="4" t="s">
        <v>116</v>
      </c>
      <c r="B5" s="4" t="n">
        <f aca="false">COUNTIF('Chi tiết CUT'!$I$2:$I$181,A5)</f>
        <v>5</v>
      </c>
      <c r="C5" s="4" t="n">
        <f aca="false">COUNTIF('Chi tiết CUT'!$L$2:$L$181,A5)</f>
        <v>3</v>
      </c>
      <c r="D5" s="4" t="n">
        <f aca="false">C5-B5</f>
        <v>-2</v>
      </c>
      <c r="E5" s="12" t="s">
        <v>976</v>
      </c>
    </row>
    <row r="6" customFormat="false" ht="15" hidden="false" customHeight="false" outlineLevel="0" collapsed="false">
      <c r="A6" s="4" t="s">
        <v>63</v>
      </c>
      <c r="B6" s="4" t="n">
        <f aca="false">COUNTIF('Chi tiết CUT'!$I$2:$I$181,A6)</f>
        <v>3</v>
      </c>
      <c r="C6" s="4" t="n">
        <f aca="false">COUNTIF('Chi tiết CUT'!$L$2:$L$181,A6)</f>
        <v>3</v>
      </c>
      <c r="D6" s="4" t="n">
        <f aca="false">C6-B6</f>
        <v>0</v>
      </c>
      <c r="E6" s="12" t="s">
        <v>977</v>
      </c>
    </row>
    <row r="7" customFormat="false" ht="15" hidden="false" customHeight="false" outlineLevel="0" collapsed="false">
      <c r="A7" s="4" t="s">
        <v>71</v>
      </c>
      <c r="B7" s="4" t="n">
        <f aca="false">COUNTIF('Chi tiết CUT'!$I$2:$I$181,A7)</f>
        <v>3</v>
      </c>
      <c r="C7" s="4" t="n">
        <f aca="false">COUNTIF('Chi tiết CUT'!$L$2:$L$181,A7)</f>
        <v>3</v>
      </c>
      <c r="D7" s="4" t="n">
        <f aca="false">C7-B7</f>
        <v>0</v>
      </c>
      <c r="E7" s="12" t="s">
        <v>978</v>
      </c>
    </row>
    <row r="8" customFormat="false" ht="15" hidden="false" customHeight="false" outlineLevel="0" collapsed="false">
      <c r="A8" s="4" t="s">
        <v>425</v>
      </c>
      <c r="B8" s="4" t="n">
        <f aca="false">COUNTIF('Chi tiết CUT'!$I$2:$I$181,A8)</f>
        <v>3</v>
      </c>
      <c r="C8" s="4" t="n">
        <f aca="false">COUNTIF('Chi tiết CUT'!$L$2:$L$181,A8)</f>
        <v>3</v>
      </c>
      <c r="D8" s="4" t="n">
        <f aca="false">C8-B8</f>
        <v>0</v>
      </c>
      <c r="E8" s="12" t="s">
        <v>979</v>
      </c>
    </row>
    <row r="9" customFormat="false" ht="15" hidden="false" customHeight="false" outlineLevel="0" collapsed="false">
      <c r="A9" s="4" t="s">
        <v>413</v>
      </c>
      <c r="B9" s="4" t="n">
        <f aca="false">COUNTIF('Chi tiết CUT'!$I$2:$I$181,A9)</f>
        <v>2</v>
      </c>
      <c r="C9" s="4" t="n">
        <f aca="false">COUNTIF('Chi tiết CUT'!$L$2:$L$181,A9)</f>
        <v>2</v>
      </c>
      <c r="D9" s="4" t="n">
        <f aca="false">C9-B9</f>
        <v>0</v>
      </c>
      <c r="E9" s="12" t="s">
        <v>980</v>
      </c>
    </row>
    <row r="10" customFormat="false" ht="15" hidden="false" customHeight="false" outlineLevel="0" collapsed="false">
      <c r="A10" s="11" t="s">
        <v>967</v>
      </c>
      <c r="B10" s="11" t="n">
        <f aca="false">SUM(B2:B9)</f>
        <v>180</v>
      </c>
      <c r="C10" s="11" t="n">
        <f aca="false">SUM(C2:C9)</f>
        <v>180</v>
      </c>
      <c r="D10" s="11" t="n">
        <f aca="false">SUM(D2:D9)</f>
        <v>0</v>
      </c>
      <c r="E1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2026-10-11T15:29:28Z</dcterms:created>
  <dc:creator>openpyxl</dc:creator>
  <dc:description/>
  <dc:language>vi-VN</dc:language>
  <cp:lastModifiedBy/>
  <dcterms:modified xsi:type="dcterms:W3CDTF">2026-10-11T15:29:28Z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