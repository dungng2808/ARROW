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Label" sheetId="2" state="visible" r:id="rId4"/>
    <sheet name="Tổng hợp" sheetId="3" state="visible" r:id="rId5"/>
    <sheet name="Ứng viên" sheetId="4" state="visible" r:id="rId6"/>
  </sheets>
  <definedNames>
    <definedName function="false" hidden="true" localSheetId="1" name="_xlnm._FilterDatabase" vbProcedure="false">Label!$A$1:$S$84</definedName>
    <definedName function="false" hidden="true" localSheetId="3" name="_xlnm._FilterDatabase" vbProcedure="false">'Ứng viên'!$A$1:$K$238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<sst xmlns="http://schemas.openxmlformats.org/spreadsheetml/2006/main" count="2357" uniqueCount="915">
  <si>
    <t xml:space="preserve">Label test tham chiếu cho CUT GitBug-Java (không có test trùng tên)</t>
  </si>
  <si>
    <t xml:space="preserve">Mục đích</t>
  </si>
  <si>
    <t xml:space="preserve">Với các CUT không có file test tên &lt;Tên&gt;Test / Test&lt;Tên&gt; / &lt;Tên&gt;Tests, xác định test class do người viết nào kiểm thử CUT để dùng làm test tham chiếu (RQ3, mô tả).</t>
  </si>
  <si>
    <t xml:space="preserve">Tiêu chí PAIRED (chốt trước khi label)</t>
  </si>
  <si>
    <t xml:space="preserve">Chọn PAIRED khi test class (1) nằm trong thư mục test của cùng module tại commit đã fix, (2) viết bằng Java, và (3) có ít nhất một test method gọi trực tiếp API của CUT (tạo đối tượng CUT bằng new, gọi method của CUT, hoặc gọi method static của CUT). Nếu nhiều test class thỏa, chọn test class gọi trực tiếp nhiều API của CUT nhất; hòa thì chọn class có tên chứa tên CUT, rồi đến class cùng package.</t>
  </si>
  <si>
    <t xml:space="preserve">Không tính</t>
  </si>
  <si>
    <t xml:space="preserve">File *IT (integration test chạy bằng Maven failsafe, thường cần dịch vụ ngoài), file *Example hoặc lớp tiện ích/fake không có test method, và test của class khác chỉ dùng CUT gián tiếp. Khi hai test bằng điểm, ưu tiên unit test chạy bằng surefire.</t>
  </si>
  <si>
    <t xml:space="preserve">Tiêu chí NONE</t>
  </si>
  <si>
    <t xml:space="preserve">Chọn NONE khi không có test class Java nào thỏa tiêu chí trên: chỉ nhắc tên CUT trong comment hoặc import, chỉ dùng CUT gián tiếp qua class khác, hoặc test viết bằng Groovy/Kotlin.</t>
  </si>
  <si>
    <t xml:space="preserve">Không được làm</t>
  </si>
  <si>
    <t xml:space="preserve">Không xem bất kỳ kết quả chạy ARROW hay EvoSuite nào khi label. Không chọn CUT 'dễ': label mọi dòng, việc chọn 1 CUT mỗi repository sẽ rút ngẫu nhiên sau đó.</t>
  </si>
  <si>
    <t xml:space="preserve">Cách điền (sheet Label)</t>
  </si>
  <si>
    <t xml:space="preserve">1) Mở CUT bằng link ở cột G. 2) Xem các ứng viên trong sheet 'Ứng viên' (lọc cột 'STT CUT' bằng số STT), mở link GitHub để đọc test. 3) Điền cột K = PAIRED hoặc NONE. 4) Nếu PAIRED: điền số hạng ứng viên ở cột L, hoặc dán đường dẫn test khác ở cột M (đường dẫn tính từ gốc repository). Cột N tự hiện test_class_path. 5) Ghi lý do ngắn ở cột O và tên người label ở cột P.</t>
  </si>
  <si>
    <t xml:space="preserve">Người kiểm tra</t>
  </si>
  <si>
    <t xml:space="preserve">Người thứ hai xem lại (ít nhất các dòng ưu tiên A), ghi tên ở cột Q và Có/Không ở cột R. Dòng 'Không' cần thống nhất lại rồi sửa K–N.</t>
  </si>
  <si>
    <t xml:space="preserve">Ô cần điền</t>
  </si>
  <si>
    <t xml:space="preserve">Ô nền vàng (cột K–M, O–S). Cột N nền xám là công thức, không sửa.</t>
  </si>
  <si>
    <t xml:space="preserve">Ví dụ một dòng</t>
  </si>
  <si>
    <t xml:space="preserve">CUT src/main/java/com/ezylang/evalex/parser/Tokenizer.java → K = PAIRED, L = 1 (TokenizerArrayTest.java), O = 'TokenizerArrayTest tạo new Tokenizer(...) và gọi parse() trong mọi test method', P = tên người label.</t>
  </si>
  <si>
    <t xml:space="preserve">Ưu tiên</t>
  </si>
  <si>
    <t xml:space="preserve">A = repository chưa có CUT nào qua preflight (label xong có thể thêm repository mới). B = repository đã có CUT qua preflight (label để quy tắc áp dụng đồng nhất cho mọi CUT).</t>
  </si>
  <si>
    <t xml:space="preserve">Ứng viên được tìm thế nào</t>
  </si>
  <si>
    <t xml:space="preserve">Script scripts/analyze_gitbug_test_evidence.py checkout CUT và thư mục test tại commit đã fix, giữ file test nhắc tên CUT mà cùng package, import CUT hoặc dùng tên đầy đủ, rồi đếm số test method (@Test, @ParameterizedTest, …) gọi trực tiếp CUT (new CUT, CUT.x(), biến kiểu CUT gọi method). Xếp hạng theo số test method gọi trực tiếp. Danh sách chỉ là gợi ý; có thể chọn test ngoài danh sách ở cột M.</t>
  </si>
  <si>
    <t xml:space="preserve">Sau khi label</t>
  </si>
  <si>
    <t xml:space="preserve">Báo lại để chuyển sheet Label thành manual_test_labels.csv, chạy lại normalize_gitbug.py --manual-labels và preflight cho các CUT mới.</t>
  </si>
  <si>
    <t xml:space="preserve">STT</t>
  </si>
  <si>
    <t xml:space="preserve">Repository</t>
  </si>
  <si>
    <t xml:space="preserve">Bug (project_id)</t>
  </si>
  <si>
    <t xml:space="preserve">CUT (class_path)</t>
  </si>
  <si>
    <t xml:space="preserve">CUT FQN</t>
  </si>
  <si>
    <t xml:space="preserve">Mở CUT</t>
  </si>
  <si>
    <t xml:space="preserve">Số test đã quét</t>
  </si>
  <si>
    <t xml:space="preserve">Số ứng viên</t>
  </si>
  <si>
    <t xml:space="preserve">Ứng viên hạng 1 (gợi ý)</t>
  </si>
  <si>
    <t xml:space="preserve">Quyết định
(PAIRED / NONE)</t>
  </si>
  <si>
    <t xml:space="preserve">Chọn ứng viên số
(1, 2, …)</t>
  </si>
  <si>
    <t xml:space="preserve">Đường dẫn test khác
(nếu không có trong ứng viên)</t>
  </si>
  <si>
    <t xml:space="preserve">test_class_path
(tự tính)</t>
  </si>
  <si>
    <t xml:space="preserve">Lý do</t>
  </si>
  <si>
    <t xml:space="preserve">Người label</t>
  </si>
  <si>
    <t xml:space="preserve">Kiểm tra đồng ý?
(Có / Không)</t>
  </si>
  <si>
    <t xml:space="preserve">Ghi chú</t>
  </si>
  <si>
    <t xml:space="preserve">A — repo chưa có CUT qua preflight</t>
  </si>
  <si>
    <t xml:space="preserve">Bindambc/whatsapp-business-java-api</t>
  </si>
  <si>
    <t xml:space="preserve">Bindambc-whatsapp-business-java-api-362caf5eb33c</t>
  </si>
  <si>
    <t xml:space="preserve">src/main/java/com/whatsapp/api/domain/messages/Language.java</t>
  </si>
  <si>
    <t xml:space="preserve">com.whatsapp.api.domain.messages.Language</t>
  </si>
  <si>
    <t xml:space="preserve">mở</t>
  </si>
  <si>
    <t xml:space="preserve">src/test/java/com/whatsapp/api/impl/WhatsappBusinessCloudApiTest.java</t>
  </si>
  <si>
    <t xml:space="preserve">PAIRED</t>
  </si>
  <si>
    <t xml:space="preserve">WhatsappBusinessCloudApiTest.java: 1/14 test method gọi trực tiếp Language (testSendTemplateTextMessage); ví dụ: .setLanguage(new Language(LanguageType.PT_BR))//</t>
  </si>
  <si>
    <t xml:space="preserve">dungnthe180616</t>
  </si>
  <si>
    <t xml:space="preserve">Bindambc-whatsapp-business-java-api-fd321cb63437</t>
  </si>
  <si>
    <t xml:space="preserve">src/main/java/com/whatsapp/api/domain/templates/QuickReplyButton.java</t>
  </si>
  <si>
    <t xml:space="preserve">com.whatsapp.api.domain.templates.QuickReplyButton</t>
  </si>
  <si>
    <t xml:space="preserve">src/test/java/com/whatsapp/api/impl/WhatsappBusinessManagementApiTest.java</t>
  </si>
  <si>
    <t xml:space="preserve">WhatsappBusinessManagementApiTest.java: 4/21 test method gọi trực tiếp QuickReplyButton (testCreateMessageTemplate3, testCreateMessageTemplate4, testCreateMessageTemplateAuthentication); ví dụ: .addButton(new QuickReplyButton("SIM"))//</t>
  </si>
  <si>
    <t xml:space="preserve">src/main/java/com/whatsapp/api/domain/templates/UrlButton.java</t>
  </si>
  <si>
    <t xml:space="preserve">com.whatsapp.api.domain.templates.UrlButton</t>
  </si>
  <si>
    <t xml:space="preserve">WhatsappBusinessManagementApiTest.java: 1/21 test method gọi trực tiếp UrlButton (testCreateMessageTemplateUtility1); ví dụ: .addButton(new UrlButton("Assistir agora")//</t>
  </si>
  <si>
    <t xml:space="preserve">BrightSpots/rcv</t>
  </si>
  <si>
    <t xml:space="preserve">BrightSpots-rcv-688920f27706</t>
  </si>
  <si>
    <t xml:space="preserve">src/main/java/network/brightspots/rcv/Logger.java</t>
  </si>
  <si>
    <t xml:space="preserve">network.brightspots.rcv.Logger</t>
  </si>
  <si>
    <t xml:space="preserve">src/test/java/network/brightspots/rcv/TabulatorTests.java</t>
  </si>
  <si>
    <t xml:space="preserve">NONE</t>
  </si>
  <si>
    <t xml:space="preserve">TabulatorTests.java có nhắc tới Logger nhưng không test method nào gọi trực tiếp Logger (chỉ dùng gián tiếp, qua class khác hoặc làm kiểu dữ liệu).</t>
  </si>
  <si>
    <t xml:space="preserve">src/main/java/network/brightspots/rcv/ResultsWriter.java</t>
  </si>
  <si>
    <t xml:space="preserve">network.brightspots.rcv.ResultsWriter</t>
  </si>
  <si>
    <t xml:space="preserve">TabulatorTests.java có nhắc tới ResultsWriter nhưng không test method nào gọi trực tiếp ResultsWriter (chỉ dùng gián tiếp, qua class khác hoặc làm kiểu dữ liệu).</t>
  </si>
  <si>
    <t xml:space="preserve">BrightSpots-rcv-c80e6272c83a</t>
  </si>
  <si>
    <t xml:space="preserve">IBM/JSONata4Java</t>
  </si>
  <si>
    <t xml:space="preserve">IBM-JSONata4Java-1485a41ccf50</t>
  </si>
  <si>
    <t xml:space="preserve">src/main/java/com/api/jsonata4java/expressions/OrderByOperator.java</t>
  </si>
  <si>
    <t xml:space="preserve">com.api.jsonata4java.expressions.OrderByOperator</t>
  </si>
  <si>
    <t xml:space="preserve">(không tìm thấy test nào nhắc tới CUT)</t>
  </si>
  <si>
    <t xml:space="preserve">Không có file test nào (trong 72 file đã quét tại commit đã fix) nhắc tới OrderByOperator qua cùng package, import hoặc tên đầy đủ.</t>
  </si>
  <si>
    <t xml:space="preserve">Moderocky/ByteSkript</t>
  </si>
  <si>
    <t xml:space="preserve">Moderocky-ByteSkript-1dce2997df7f</t>
  </si>
  <si>
    <t xml:space="preserve">src/main/java/org/byteskript/skript/compiler/DebugSkriptCompiler.java</t>
  </si>
  <si>
    <t xml:space="preserve">org.byteskript.skript.compiler.DebugSkriptCompiler</t>
  </si>
  <si>
    <t xml:space="preserve">src/test/java/org/byteskript/skript/test/SyntaxTreeTest.java</t>
  </si>
  <si>
    <t xml:space="preserve">SyntaxTreeTest.java: 1/1 test method gọi trực tiếp DebugSkriptCompiler (testRecompile); ví dụ: final Skript skript = new Skript(new DebugSkriptCompiler(stream));</t>
  </si>
  <si>
    <t xml:space="preserve">Netflix/frigga</t>
  </si>
  <si>
    <t xml:space="preserve">Netflix-frigga-126b52a55863</t>
  </si>
  <si>
    <t xml:space="preserve">src/main/java/com/netflix/frigga/ami/AppVersion.java</t>
  </si>
  <si>
    <t xml:space="preserve">com.netflix.frigga.ami.AppVersion</t>
  </si>
  <si>
    <t xml:space="preserve">src/test/groovy/com/netflix/frigga/ami/AppVersionTest.groovy</t>
  </si>
  <si>
    <t xml:space="preserve">Chỉ có test groovy (AppVersionTest.groovy); tiêu chí yêu cầu test Java.</t>
  </si>
  <si>
    <t xml:space="preserve">YehiaFarghaly/database-engine</t>
  </si>
  <si>
    <t xml:space="preserve">YehiaFarghaly-database-engine-8314bfdec0aa</t>
  </si>
  <si>
    <t xml:space="preserve">src/main/java/util/validation/Validator.java</t>
  </si>
  <si>
    <t xml:space="preserve">util.validation.Validator</t>
  </si>
  <si>
    <t xml:space="preserve">Không có file test nào (trong 1 file đã quét tại commit đã fix) nhắc tới Validator qua cùng package, import hoặc tên đầy đủ.</t>
  </si>
  <si>
    <t xml:space="preserve">YehiaFarghaly-database-engine-c5f961f27373</t>
  </si>
  <si>
    <t xml:space="preserve">assertj/assertj-vavr</t>
  </si>
  <si>
    <t xml:space="preserve">assertj-assertj-vavr-f4d7f276e87c</t>
  </si>
  <si>
    <t xml:space="preserve">src/main/java/org/assertj/vavr/api/AbstractSeqAssert.java</t>
  </si>
  <si>
    <t xml:space="preserve">org.assertj.vavr.api.AbstractSeqAssert</t>
  </si>
  <si>
    <t xml:space="preserve">Không có file test nào (trong 137 file đã quét tại commit đã fix) nhắc tới AbstractSeqAssert qua cùng package, import hoặc tên đầy đủ.</t>
  </si>
  <si>
    <t xml:space="preserve">beanshell/beanshell</t>
  </si>
  <si>
    <t xml:space="preserve">beanshell-beanshell-7a60a06bb567</t>
  </si>
  <si>
    <t xml:space="preserve">src/main/java/bsh/This.java</t>
  </si>
  <si>
    <t xml:space="preserve">bsh.This</t>
  </si>
  <si>
    <t xml:space="preserve">src/test/java/bsh/InterpreterConcurrencyTest.java</t>
  </si>
  <si>
    <t xml:space="preserve">InterpreterConcurrencyTest.java: 4/4 test method gọi trực tiếp This (single_threaded, multi_threaded_callable, multi_threaded_class_generation_garbage_collected); ví dụ: assertEquals("foo", callable.invokeMethod("call", new Object[] { "foo" }));. Chọn file này vì nhiều test method gọi trực tiếp nhất trong 2 file thỏa tiêu chí</t>
  </si>
  <si>
    <t xml:space="preserve">beanshell-beanshell-f345606a29bd</t>
  </si>
  <si>
    <t xml:space="preserve">src/main/java/bsh/Operators.java</t>
  </si>
  <si>
    <t xml:space="preserve">bsh.Operators</t>
  </si>
  <si>
    <t xml:space="preserve">Không có file test nào (trong 72 file đã quét tại commit đã fix) nhắc tới Operators qua cùng package, import hoặc tên đầy đủ.</t>
  </si>
  <si>
    <t xml:space="preserve">bhlangonijr/chesslib</t>
  </si>
  <si>
    <t xml:space="preserve">bhlangonijr-chesslib-cf68677eac6d</t>
  </si>
  <si>
    <t xml:space="preserve">src/main/java/com/github/bhlangonijr/chesslib/pgn/GameLoader.java</t>
  </si>
  <si>
    <t xml:space="preserve">com.github.bhlangonijr.chesslib.pgn.GameLoader</t>
  </si>
  <si>
    <t xml:space="preserve">Không có file test nào (trong 10 file đã quét tại commit đã fix) nhắc tới GameLoader qua cùng package, import hoặc tên đầy đủ.</t>
  </si>
  <si>
    <t xml:space="preserve">cdimascio/dotenv-java</t>
  </si>
  <si>
    <t xml:space="preserve">cdimascio-dotenv-java-bbfbcfa63e3a</t>
  </si>
  <si>
    <t xml:space="preserve">src/main/java/io/github/cdimascio/dotenv/internal/DotenvParser.java</t>
  </si>
  <si>
    <t xml:space="preserve">io.github.cdimascio.dotenv.internal.DotenvParser</t>
  </si>
  <si>
    <t xml:space="preserve">Không có file test nào (trong 2 file đã quét tại commit đã fix) nhắc tới DotenvParser qua cùng package, import hoặc tên đầy đủ.</t>
  </si>
  <si>
    <t xml:space="preserve">cloudsimplus/cloudsimplus</t>
  </si>
  <si>
    <t xml:space="preserve">cloudsimplus-cloudsimplus-61c8b942d1ec</t>
  </si>
  <si>
    <t xml:space="preserve">src/main/java/org/cloudsimplus/hosts/HostAbstract.java</t>
  </si>
  <si>
    <t xml:space="preserve">org.cloudsimplus.hosts.HostAbstract</t>
  </si>
  <si>
    <t xml:space="preserve">Không có file test nào (trong 57 file đã quét tại commit đã fix) nhắc tới HostAbstract qua cùng package, import hoặc tên đầy đủ.</t>
  </si>
  <si>
    <t xml:space="preserve">crowdin/crowdin-api-client-java</t>
  </si>
  <si>
    <t xml:space="preserve">crowdin-crowdin-api-client-java-f0f22b2b56d7</t>
  </si>
  <si>
    <t xml:space="preserve">src/main/java/com/crowdin/client/core/http/impl/json/JacksonJsonTransformer.java</t>
  </si>
  <si>
    <t xml:space="preserve">com.crowdin.client.core.http.impl.json.JacksonJsonTransformer</t>
  </si>
  <si>
    <t xml:space="preserve">src/test/java/com/crowdin/client/framework/TestHttpClient.java</t>
  </si>
  <si>
    <t xml:space="preserve">Chỉ có file không chứa test method (TestHttpClient.java), ví dụ file Example hoặc lớp hỗ trợ.</t>
  </si>
  <si>
    <t xml:space="preserve">ezylang/EvalEx</t>
  </si>
  <si>
    <t xml:space="preserve">ezylang-EvalEx-7c39c5478a39</t>
  </si>
  <si>
    <t xml:space="preserve">src/main/java/com/ezylang/evalex/parser/Tokenizer.java</t>
  </si>
  <si>
    <t xml:space="preserve">com.ezylang.evalex.parser.Tokenizer</t>
  </si>
  <si>
    <t xml:space="preserve">src/test/java/com/ezylang/evalex/parser/TokenizerArrayTest.java</t>
  </si>
  <si>
    <t xml:space="preserve">TokenizerArrayTest.java: 9/11 test method gọi trực tiếp Tokenizer (testMissingClosingArray, testUnexpectedClosingArray, testOpenArrayNotAllowedBeginning); ví dụ: assertThatThrownBy(() -&gt; new Tokenizer("a[2+4", configuration).parse()). Chọn file này vì nhiều test method gọi trực tiếp nhất trong 9 file thỏa tiêu chí</t>
  </si>
  <si>
    <t xml:space="preserve">giraud/reasonml-idea-plugin</t>
  </si>
  <si>
    <t xml:space="preserve">giraud-reasonml-idea-plugin-11d991db162a</t>
  </si>
  <si>
    <t xml:space="preserve">src/main/java/com/reason/ide/structure/StructureViewElement.java</t>
  </si>
  <si>
    <t xml:space="preserve">com.reason.ide.structure.StructureViewElement</t>
  </si>
  <si>
    <t xml:space="preserve">Không có file test nào (trong 184 file đã quét tại commit đã fix) nhắc tới StructureViewElement qua cùng package, import hoặc tên đầy đủ.</t>
  </si>
  <si>
    <t xml:space="preserve">src/main/java/com/reason/lang/core/psi/impl/RPsiModuleSignature.java</t>
  </si>
  <si>
    <t xml:space="preserve">com.reason.lang.core.psi.impl.RPsiModuleSignature</t>
  </si>
  <si>
    <t xml:space="preserve">src/test/java/com/reason/lang/ocaml/ModuleParsingTest.java</t>
  </si>
  <si>
    <t xml:space="preserve">ModuleParsingTest.java: 13/15 test method gọi trực tiếp RPsiModuleSignature (test_empty, test_alias, test_alias_path); ví dụ: assertEquals("M", e.getName());</t>
  </si>
  <si>
    <t xml:space="preserve">src/main/java/com/reason/lang/ocaml/OclParser.java</t>
  </si>
  <si>
    <t xml:space="preserve">com.reason.lang.ocaml.OclParser</t>
  </si>
  <si>
    <t xml:space="preserve">Không có file test nào (trong 184 file đã quét tại commit đã fix) nhắc tới OclParser qua cùng package, import hoặc tên đầy đủ.</t>
  </si>
  <si>
    <t xml:space="preserve">giraud-reasonml-idea-plugin-69749af01bcf</t>
  </si>
  <si>
    <t xml:space="preserve">giraud-reasonml-idea-plugin-f665f0fc21e6</t>
  </si>
  <si>
    <t xml:space="preserve">src/main/java/com/reason/lang/rescript/ResParser.java</t>
  </si>
  <si>
    <t xml:space="preserve">com.reason.lang.rescript.ResParser</t>
  </si>
  <si>
    <t xml:space="preserve">Không có file test nào (trong 183 file đã quét tại commit đã fix) nhắc tới ResParser qua cùng package, import hoặc tên đầy đủ.</t>
  </si>
  <si>
    <t xml:space="preserve">gitbucket/markedj</t>
  </si>
  <si>
    <t xml:space="preserve">gitbucket-markedj-2dce74e12083</t>
  </si>
  <si>
    <t xml:space="preserve">src/main/java/io/github/gitbucket/markedj/Grammer.java</t>
  </si>
  <si>
    <t xml:space="preserve">io.github.gitbucket.markedj.Grammer</t>
  </si>
  <si>
    <t xml:space="preserve">Không có file test nào (trong 1 file đã quét tại commit đã fix) nhắc tới Grammer qua cùng package, import hoặc tên đầy đủ.</t>
  </si>
  <si>
    <t xml:space="preserve">jitterted/ensembler</t>
  </si>
  <si>
    <t xml:space="preserve">jitterted-ensembler-14a39138787f</t>
  </si>
  <si>
    <t xml:space="preserve">src/main/java/com/jitterted/mobreg/domain/Ensemble.java</t>
  </si>
  <si>
    <t xml:space="preserve">com.jitterted.mobreg.domain.Ensemble</t>
  </si>
  <si>
    <t xml:space="preserve">src/test/java/com/jitterted/mobreg/domain/EnsembleMemberStatusTest.java</t>
  </si>
  <si>
    <t xml:space="preserve">EnsembleMemberStatusTest.java: 13/13 test method gọi trực tiếp Ensemble (unknownMemberAndPastEnsembleThenStatusHidden, unknownMemberAndFutureEnsembleAndHasSpaceThenStatusUnknown, unknownMemberAndFutureEnsembleAndIsFullThenStatusFull); ví dụ: assertThat(pastEnsemble.statusFor(memberId, startDateTime.plusHours(3))) // duration defaults to 1h55m, so 3 h. Chọn file này vì nhiều test method gọi trực tiếp nhất trong 26 file thỏa tiêu chí</t>
  </si>
  <si>
    <t xml:space="preserve">jitterted-ensembler-60ec3bf0273b</t>
  </si>
  <si>
    <t xml:space="preserve">jitterted-ensembler-6207c9d46460</t>
  </si>
  <si>
    <t xml:space="preserve">semver4j/semver4j</t>
  </si>
  <si>
    <t xml:space="preserve">semver4j-semver4j-beb7e5d466c7</t>
  </si>
  <si>
    <t xml:space="preserve">src/main/java/org/semver4j/internal/range/processor/XRangeProcessor.java</t>
  </si>
  <si>
    <t xml:space="preserve">org.semver4j.internal.range.processor.XRangeProcessor</t>
  </si>
  <si>
    <t xml:space="preserve">Không có file test nào (trong 9 file đã quét tại commit đã fix) nhắc tới XRangeProcessor qua cùng package, import hoặc tên đầy đủ.</t>
  </si>
  <si>
    <t xml:space="preserve">slub/urnlib</t>
  </si>
  <si>
    <t xml:space="preserve">slub-urnlib-106be8d1b804</t>
  </si>
  <si>
    <t xml:space="preserve">src/main/java/de/slub/urn/RQF_RFC8141.java</t>
  </si>
  <si>
    <t xml:space="preserve">de.slub.urn.RQF_RFC8141</t>
  </si>
  <si>
    <t xml:space="preserve">src/test/java/de/slub/urn/RFC8141ParserTest.java</t>
  </si>
  <si>
    <t xml:space="preserve">RFC8141ParserTest.java: 12/14 test method gọi trực tiếp RQF_RFC8141 (R_component_get_parsed_into_resolution_parameter_map, R_component_can_hold_multiple_parameters, Q_component_get_parsed_into_query_parameter_map); ví dụ: Map&lt;String, String&gt; resolutionParameters = rqf.resolutionParameters();. Chọn file này vì nhiều test method gọi trực tiếp nhất trong 2 file thỏa tiêu chí</t>
  </si>
  <si>
    <t xml:space="preserve">snowflakedb/snowflake-jdbc</t>
  </si>
  <si>
    <t xml:space="preserve">snowflakedb-snowflake-jdbc-002bc9bb528a</t>
  </si>
  <si>
    <t xml:space="preserve">src/main/java/net/snowflake/client/jdbc/SnowflakeConnectString.java</t>
  </si>
  <si>
    <t xml:space="preserve">net.snowflake.client.jdbc.SnowflakeConnectString</t>
  </si>
  <si>
    <t xml:space="preserve">src/test/java/net/snowflake/client/jdbc/ConnectStringParseTest.java</t>
  </si>
  <si>
    <t xml:space="preserve">ConnectStringParseTest.java: 2/2 test method gọi trực tiếp SnowflakeConnectString (testParseAccountName, testParseWithIllegalUriCharacters); ví dụ: SnowflakeConnectString cstring = SnowflakeConnectString.parse(jdbcConnectString, info);. Chọn file này vì nhiều test method gọi trực tiếp nhất trong 3 file thỏa tiêu chí</t>
  </si>
  <si>
    <t xml:space="preserve">snowflakedb-snowflake-jdbc-15a45aca6bcd</t>
  </si>
  <si>
    <t xml:space="preserve">src/main/java/net/snowflake/client/jdbc/SnowflakeFileTransferAgent.java</t>
  </si>
  <si>
    <t xml:space="preserve">net.snowflake.client.jdbc.SnowflakeFileTransferAgent</t>
  </si>
  <si>
    <t xml:space="preserve">src/test/java/net/snowflake/client/jdbc/FileUploaderLatestIT.java</t>
  </si>
  <si>
    <t xml:space="preserve">FileUploaderSessionlessTest.java: 15/15 test method gọi trực tiếp SnowflakeFileTransferAgent (testGetEncryptionMaterialMissing, testGetEncryptionMaterial, testGetS3StageData); ví dụ: SnowflakeFileTransferAgent.getEncryptionMaterial(. Chọn file này vì nhiều test method gọi trực tiếp nhất trong 3 file thỏa tiêu chí; bỏ qua FileUploaderLatestIT.java vì là integration test (*IT)</t>
  </si>
  <si>
    <t xml:space="preserve">spring-projects/spring-guice</t>
  </si>
  <si>
    <t xml:space="preserve">spring-projects-spring-guice-ce15b8e5802a</t>
  </si>
  <si>
    <t xml:space="preserve">src/main/java/org/springframework/guice/module/SpringModule.java</t>
  </si>
  <si>
    <t xml:space="preserve">org.springframework.guice.module.SpringModule</t>
  </si>
  <si>
    <t xml:space="preserve">src/test/java/org/springframework/guice/module/SpringModuleGuiceBindingAwareTests.java</t>
  </si>
  <si>
    <t xml:space="preserve">SpringModuleGuiceBindingAwareTests.java: 1/1 test method gọi trực tiếp SpringModule (testAllDependenciesInjectedAndLifeycleMethodsCalledOnce); ví dụ: new SpringModule(BeanFactoryProvider.from(GuiceProjectWithSpringLibraryTestSpringConfig.class)));. Chọn file này vì nhiều test method gọi trực tiếp nhất trong 2 file thỏa tiêu chí</t>
  </si>
  <si>
    <t xml:space="preserve">st-tu-dresden/salespoint</t>
  </si>
  <si>
    <t xml:space="preserve">st-tu-dresden-salespoint-85a764f892aa</t>
  </si>
  <si>
    <t xml:space="preserve">src/main/java/org/salespointframework/accountancy/PersistentAccountancy.java</t>
  </si>
  <si>
    <t xml:space="preserve">org.salespointframework.accountancy.PersistentAccountancy</t>
  </si>
  <si>
    <t xml:space="preserve">Không có file test nào (trong 68 file đã quét tại commit đã fix) nhắc tới PersistentAccountancy qua cùng package, import hoặc tên đầy đủ.</t>
  </si>
  <si>
    <t xml:space="preserve">vmzakharov/dataframe-ec</t>
  </si>
  <si>
    <t xml:space="preserve">vmzakharov-dataframe-ec-12af99192d24</t>
  </si>
  <si>
    <t xml:space="preserve">src/main/java/io/github/vmzakharov/ecdataframe/dsl/value/StringValue.java</t>
  </si>
  <si>
    <t xml:space="preserve">io.github.vmzakharov.ecdataframe.dsl.value.StringValue</t>
  </si>
  <si>
    <t xml:space="preserve">src/test/java/io/github/vmzakharov/ecdataframe/dsl/ObjectValueCompareOpTest.java</t>
  </si>
  <si>
    <t xml:space="preserve">ObjectValueCompareOpTest.java: 5/11 test method gọi trực tiếp StringValue (stringEq, stringGt, stringLt); ví dụ: Assert.assertTrue(ExpressionTestUtil.evaluate(ComparisonOp.EQ, new StringValue("Foo"), new StringValue("Foo")). Chọn file này vì nhiều test method gọi trực tiếp nhất trong 8 file thỏa tiêu chí</t>
  </si>
  <si>
    <t xml:space="preserve">vmzakharov-dataframe-ec-e9eb4dbe0e70</t>
  </si>
  <si>
    <t xml:space="preserve">src/main/java/io/github/vmzakharov/ecdataframe/dataframe/compare/ComparisonResult.java</t>
  </si>
  <si>
    <t xml:space="preserve">io.github.vmzakharov.ecdataframe.dataframe.compare.ComparisonResult</t>
  </si>
  <si>
    <t xml:space="preserve">Không có file test nào (trong 68 file đã quét tại commit đã fix) nhắc tới ComparisonResult qua cùng package, import hoặc tên đầy đủ.</t>
  </si>
  <si>
    <t xml:space="preserve">w3c/epubcheck</t>
  </si>
  <si>
    <t xml:space="preserve">w3c-epubcheck-0759a82ae407</t>
  </si>
  <si>
    <t xml:space="preserve">src/main/java/com/adobe/epubcheck/opf/OPFChecker30.java</t>
  </si>
  <si>
    <t xml:space="preserve">com.adobe.epubcheck.opf.OPFChecker30</t>
  </si>
  <si>
    <t xml:space="preserve">src/test/java/org/w3c/epubcheck/test/ExecutionSteps.java</t>
  </si>
  <si>
    <t xml:space="preserve">Chỉ có file không chứa test method (ExecutionSteps.java), ví dụ file Example hoặc lớp hỗ trợ.</t>
  </si>
  <si>
    <t xml:space="preserve">src/main/java/com/adobe/epubcheck/ops/OPSHandler30.java</t>
  </si>
  <si>
    <t xml:space="preserve">com.adobe.epubcheck.ops.OPSHandler30</t>
  </si>
  <si>
    <t xml:space="preserve">Không có file test nào (trong 29 file đã quét tại commit đã fix) nhắc tới OPSHandler30 qua cùng package, import hoặc tên đầy đủ.</t>
  </si>
  <si>
    <t xml:space="preserve">w3c-epubcheck-49aacb238c3e</t>
  </si>
  <si>
    <t xml:space="preserve">src/main/java/com/adobe/epubcheck/tool/EpubChecker.java</t>
  </si>
  <si>
    <t xml:space="preserve">com.adobe.epubcheck.tool.EpubChecker</t>
  </si>
  <si>
    <t xml:space="preserve">Không có file test nào (trong 30 file đã quét tại commit đã fix) nhắc tới EpubChecker qua cùng package, import hoặc tên đầy đủ.</t>
  </si>
  <si>
    <t xml:space="preserve">w3c-epubcheck-7804c78a53f2</t>
  </si>
  <si>
    <t xml:space="preserve">src/main/java/org/w3c/epubcheck/core/references/ResourceReferencesChecker.java</t>
  </si>
  <si>
    <t xml:space="preserve">org.w3c.epubcheck.core.references.ResourceReferencesChecker</t>
  </si>
  <si>
    <t xml:space="preserve">Không có file test nào (trong 30 file đã quét tại commit đã fix) nhắc tới ResourceReferencesChecker qua cùng package, import hoặc tên đầy đủ.</t>
  </si>
  <si>
    <t xml:space="preserve">wmixvideo/nfe</t>
  </si>
  <si>
    <t xml:space="preserve">wmixvideo-nfe-67518e14db7e</t>
  </si>
  <si>
    <t xml:space="preserve">src/main/java/com/fincatto/documentofiscal/mdfe3/classes/nota/MDFInfoModalRodoviarioVeiculoReboque.java</t>
  </si>
  <si>
    <t xml:space="preserve">com.fincatto.documentofiscal.mdfe3.classes.nota.MDFInfoModalRodoviarioVeiculoReboque</t>
  </si>
  <si>
    <t xml:space="preserve">src/test/java/com/fincatto/documentofiscal/mdfe3/FabricaDeObjetosFakeMDFe.java</t>
  </si>
  <si>
    <t xml:space="preserve">Chỉ có file không chứa test method (FabricaDeObjetosFakeMDFe.java), ví dụ file Example hoặc lớp hỗ trợ.</t>
  </si>
  <si>
    <t xml:space="preserve">xtremexp/UT4X-Converter</t>
  </si>
  <si>
    <t xml:space="preserve">xtremexp-UT4X-Converter-e16bad18b562</t>
  </si>
  <si>
    <t xml:space="preserve">src/main/java/org/xtx/ut4converter/t3d/T3DSimpleProperty.java</t>
  </si>
  <si>
    <t xml:space="preserve">org.xtx.ut4converter.t3d.T3DSimpleProperty</t>
  </si>
  <si>
    <t xml:space="preserve">Không có file test nào (trong 26 file đã quét tại commit đã fix) nhắc tới T3DSimpleProperty qua cùng package, import hoặc tên đầy đủ.</t>
  </si>
  <si>
    <t xml:space="preserve">xtremexp-UT4X-Converter-e719841eb260</t>
  </si>
  <si>
    <t xml:space="preserve">src/main/java/org/xtx/ut4converter/t3d/T3DActor.java</t>
  </si>
  <si>
    <t xml:space="preserve">org.xtx.ut4converter.t3d.T3DActor</t>
  </si>
  <si>
    <t xml:space="preserve">src/test/java/org/xtx/ut4converter/t3d/T3DUE2TerrainTest.java</t>
  </si>
  <si>
    <t xml:space="preserve">T3DUE2TerrainTest.java, T3DTestUtils.java, T3DUE3TerrainTest.java có nhắc tới T3DActor nhưng không test method nào gọi trực tiếp T3DActor (chỉ dùng gián tiếp, qua class khác hoặc làm kiểu dữ liệu).</t>
  </si>
  <si>
    <t xml:space="preserve">B — repo đã có CUT qua preflight</t>
  </si>
  <si>
    <t xml:space="preserve">GoSimpleLLC/nbvcxz</t>
  </si>
  <si>
    <t xml:space="preserve">GoSimpleLLC-nbvcxz-ee8d5c62f4fb</t>
  </si>
  <si>
    <t xml:space="preserve">src/main/java/me/gosimple/nbvcxz/resources/ConfigurationBuilder.java</t>
  </si>
  <si>
    <t xml:space="preserve">me.gosimple.nbvcxz.resources.ConfigurationBuilder</t>
  </si>
  <si>
    <t xml:space="preserve">src/test/java/me/gosimple/nbvcxz/NbvcxzTest.java</t>
  </si>
  <si>
    <t xml:space="preserve">NbvcxzTest.java: 2/4 test method gọi trực tiếp ConfigurationBuilder (testExcludeDictionary, testMaxLength); ví dụ: List&lt;Dictionary&gt; dictionaryList = ConfigurationBuilder.getDefaultDictionaries();. Chọn file này vì nhiều test method gọi trực tiếp nhất trong 7 file thỏa tiêu chí</t>
  </si>
  <si>
    <t xml:space="preserve">src/main/java/me/gosimple/nbvcxz/resources/Dictionary.java</t>
  </si>
  <si>
    <t xml:space="preserve">me.gosimple.nbvcxz.resources.Dictionary</t>
  </si>
  <si>
    <t xml:space="preserve">NbvcxzTest.java, DictionaryMatcherTest.java có nhắc tới Dictionary nhưng không test method nào gọi trực tiếp Dictionary (chỉ dùng gián tiếp, qua class khác hoặc làm kiểu dữ liệu).</t>
  </si>
  <si>
    <t xml:space="preserve">adoble/adr-j</t>
  </si>
  <si>
    <t xml:space="preserve">adoble-adr-j-7fe616c55a5b</t>
  </si>
  <si>
    <t xml:space="preserve">src/main/java/org/doble/commands/CommandADR.java</t>
  </si>
  <si>
    <t xml:space="preserve">org.doble.commands.CommandADR</t>
  </si>
  <si>
    <t xml:space="preserve">Không có file test nào (trong 18 file đã quét tại commit đã fix) nhắc tới CommandADR qua cùng package, import hoặc tên đầy đủ.</t>
  </si>
  <si>
    <t xml:space="preserve">src/main/java/org/doble/commands/CommandVersion.java</t>
  </si>
  <si>
    <t xml:space="preserve">org.doble.commands.CommandVersion</t>
  </si>
  <si>
    <t xml:space="preserve">Không có file test nào (trong 18 file đã quét tại commit đã fix) nhắc tới CommandVersion qua cùng package, import hoặc tên đầy đủ.</t>
  </si>
  <si>
    <t xml:space="preserve">jhy/jsoup</t>
  </si>
  <si>
    <t xml:space="preserve">jhy-jsoup-0121311b1bd5</t>
  </si>
  <si>
    <t xml:space="preserve">src/main/java/org/jsoup/helper/UrlBuilder.java</t>
  </si>
  <si>
    <t xml:space="preserve">org.jsoup.helper.UrlBuilder</t>
  </si>
  <si>
    <t xml:space="preserve">src/test/java/org/jsoup/helper/HttpConnectionTest.java</t>
  </si>
  <si>
    <t xml:space="preserve">HttpConnectionTest.java: 2/30 test method gọi trực tiếp UrlBuilder (encodeUrl, encodedUrlDoesntDoubleEncode); ví dụ: URL url2 = new UrlBuilder(url1).build();</t>
  </si>
  <si>
    <t xml:space="preserve">jhy-jsoup-1657e8fd6588</t>
  </si>
  <si>
    <t xml:space="preserve">src/main/java/org/jsoup/nodes/DataNode.java</t>
  </si>
  <si>
    <t xml:space="preserve">org.jsoup.nodes.DataNode</t>
  </si>
  <si>
    <t xml:space="preserve">src/test/java/org/jsoup/nodes/ElementTest.java</t>
  </si>
  <si>
    <t xml:space="preserve">ElementTest.java: 1/198 test method gọi trực tiếp DataNode (datanodesOutputCdataInXhtml); ví dụ: assertEquals("1 &amp;&amp; 2", scriptDataNode.getWholeData());. Chọn file này vì nhiều test method gọi trực tiếp nhất trong 4 file thỏa tiêu chí</t>
  </si>
  <si>
    <t xml:space="preserve">jhy-jsoup-1e69577e358c</t>
  </si>
  <si>
    <t xml:space="preserve">HttpConnectionTest.java: 2/32 test method gọi trực tiếp UrlBuilder (encodeUrl, encodedUrlDoesntDoubleEncode); ví dụ: URL url2 = new UrlBuilder(url1).build();</t>
  </si>
  <si>
    <t xml:space="preserve">jhy-jsoup-2a4a9cf83dea</t>
  </si>
  <si>
    <t xml:space="preserve">src/main/java/org/jsoup/select/StructuralEvaluator.java</t>
  </si>
  <si>
    <t xml:space="preserve">org.jsoup.select.StructuralEvaluator</t>
  </si>
  <si>
    <t xml:space="preserve">src/test/java/org/jsoup/select/SelectorTest.java</t>
  </si>
  <si>
    <t xml:space="preserve">SelectorTest.java, QueryParserTest.java có nhắc tới StructuralEvaluator nhưng không test method nào gọi trực tiếp StructuralEvaluator (chỉ dùng gián tiếp, qua class khác hoặc làm kiểu dữ liệu).</t>
  </si>
  <si>
    <t xml:space="preserve">jhy-jsoup-6ccd158754e2</t>
  </si>
  <si>
    <t xml:space="preserve">HttpConnectionTest.java: 4/35 test method gọi trực tiếp UrlBuilder (encodeUrl, encodeUrlSupplementary, encodedUrlDoesntDoubleEncode); ví dụ: URL url2 = new UrlBuilder(url1).build();</t>
  </si>
  <si>
    <t xml:space="preserve">jhy-jsoup-9de27fa7cd82</t>
  </si>
  <si>
    <t xml:space="preserve">src/main/java/org/jsoup/Connection.java</t>
  </si>
  <si>
    <t xml:space="preserve">org.jsoup.Connection</t>
  </si>
  <si>
    <t xml:space="preserve">HttpConnectionTest.java: 23/34 test method gọi trực tiếp Connection (canCreateEmptyConnection, throwsExceptionOnResponseWithoutExecute, throwsExceptionOnParseWithoutExecute); ví dụ: assertEquals(Connection.Method.GET, con.request().method());. Chọn file này vì nhiều test method gọi trực tiếp nhất trong 5 file thỏa tiêu chí</t>
  </si>
  <si>
    <t xml:space="preserve">jhy-jsoup-c93ea51dabfb</t>
  </si>
  <si>
    <t xml:space="preserve">src/main/java/org/jsoup/parser/Token.java</t>
  </si>
  <si>
    <t xml:space="preserve">org.jsoup.parser.Token</t>
  </si>
  <si>
    <t xml:space="preserve">src/test/java/org/jsoup/parser/HtmlParserTest.java</t>
  </si>
  <si>
    <t xml:space="preserve">HtmlParserTest.java, TokenQueueTest.java có nhắc tới Token nhưng không test method nào gọi trực tiếp Token (chỉ dùng gián tiếp, qua class khác hoặc làm kiểu dữ liệu).</t>
  </si>
  <si>
    <t xml:space="preserve">mthmulders/mcs</t>
  </si>
  <si>
    <t xml:space="preserve">mthmulders-mcs-7c8b5bc9c7f2</t>
  </si>
  <si>
    <t xml:space="preserve">src/main/java/it/mulders/mcs/search/printer/BuildrOutput.java</t>
  </si>
  <si>
    <t xml:space="preserve">it.mulders.mcs.search.printer.BuildrOutput</t>
  </si>
  <si>
    <t xml:space="preserve">src/test/java/it/mulders/mcs/search/FormatTypeTest.java</t>
  </si>
  <si>
    <t xml:space="preserve">FormatTypeTest.java, CoordinatePrinterTest.java có nhắc tới BuildrOutput nhưng không test method nào gọi trực tiếp BuildrOutput (chỉ dùng gián tiếp, qua class khác hoặc làm kiểu dữ liệu).</t>
  </si>
  <si>
    <t xml:space="preserve">src/main/java/it/mulders/mcs/search/printer/GradleGroovyOutput.java</t>
  </si>
  <si>
    <t xml:space="preserve">it.mulders.mcs.search.printer.GradleGroovyOutput</t>
  </si>
  <si>
    <t xml:space="preserve">FormatTypeTest.java, CoordinatePrinterTest.java có nhắc tới GradleGroovyOutput nhưng không test method nào gọi trực tiếp GradleGroovyOutput (chỉ dùng gián tiếp, qua class khác hoặc làm kiểu dữ liệu).</t>
  </si>
  <si>
    <t xml:space="preserve">src/main/java/it/mulders/mcs/search/printer/GradleGroovyShortOutput.java</t>
  </si>
  <si>
    <t xml:space="preserve">it.mulders.mcs.search.printer.GradleGroovyShortOutput</t>
  </si>
  <si>
    <t xml:space="preserve">FormatTypeTest.java, CoordinatePrinterTest.java có nhắc tới GradleGroovyShortOutput nhưng không test method nào gọi trực tiếp GradleGroovyShortOutput (chỉ dùng gián tiếp, qua class khác hoặc làm kiểu dữ liệu).</t>
  </si>
  <si>
    <t xml:space="preserve">src/main/java/it/mulders/mcs/search/printer/GradleKotlinOutput.java</t>
  </si>
  <si>
    <t xml:space="preserve">it.mulders.mcs.search.printer.GradleKotlinOutput</t>
  </si>
  <si>
    <t xml:space="preserve">FormatTypeTest.java, CoordinatePrinterTest.java có nhắc tới GradleKotlinOutput nhưng không test method nào gọi trực tiếp GradleKotlinOutput (chỉ dùng gián tiếp, qua class khác hoặc làm kiểu dữ liệu).</t>
  </si>
  <si>
    <t xml:space="preserve">src/main/java/it/mulders/mcs/search/printer/GrapeOutput.java</t>
  </si>
  <si>
    <t xml:space="preserve">it.mulders.mcs.search.printer.GrapeOutput</t>
  </si>
  <si>
    <t xml:space="preserve">FormatTypeTest.java, CoordinatePrinterTest.java có nhắc tới GrapeOutput nhưng không test method nào gọi trực tiếp GrapeOutput (chỉ dùng gián tiếp, qua class khác hoặc làm kiểu dữ liệu).</t>
  </si>
  <si>
    <t xml:space="preserve">src/main/java/it/mulders/mcs/search/printer/IvyXmlOutput.java</t>
  </si>
  <si>
    <t xml:space="preserve">it.mulders.mcs.search.printer.IvyXmlOutput</t>
  </si>
  <si>
    <t xml:space="preserve">FormatTypeTest.java, CoordinatePrinterTest.java có nhắc tới IvyXmlOutput nhưng không test method nào gọi trực tiếp IvyXmlOutput (chỉ dùng gián tiếp, qua class khác hoặc làm kiểu dữ liệu).</t>
  </si>
  <si>
    <t xml:space="preserve">src/main/java/it/mulders/mcs/search/printer/LeiningenOutput.java</t>
  </si>
  <si>
    <t xml:space="preserve">it.mulders.mcs.search.printer.LeiningenOutput</t>
  </si>
  <si>
    <t xml:space="preserve">FormatTypeTest.java, CoordinatePrinterTest.java có nhắc tới LeiningenOutput nhưng không test method nào gọi trực tiếp LeiningenOutput (chỉ dùng gián tiếp, qua class khác hoặc làm kiểu dữ liệu).</t>
  </si>
  <si>
    <t xml:space="preserve">src/main/java/it/mulders/mcs/search/printer/PomXmlOutput.java</t>
  </si>
  <si>
    <t xml:space="preserve">it.mulders.mcs.search.printer.PomXmlOutput</t>
  </si>
  <si>
    <t xml:space="preserve">FormatTypeTest.java, CoordinatePrinterTest.java có nhắc tới PomXmlOutput nhưng không test method nào gọi trực tiếp PomXmlOutput (chỉ dùng gián tiếp, qua class khác hoặc làm kiểu dữ liệu).</t>
  </si>
  <si>
    <t xml:space="preserve">src/main/java/it/mulders/mcs/search/printer/SbtOutput.java</t>
  </si>
  <si>
    <t xml:space="preserve">it.mulders.mcs.search.printer.SbtOutput</t>
  </si>
  <si>
    <t xml:space="preserve">FormatTypeTest.java, CoordinatePrinterTest.java có nhắc tới SbtOutput nhưng không test method nào gọi trực tiếp SbtOutput (chỉ dùng gián tiếp, qua class khác hoặc làm kiểu dữ liệu).</t>
  </si>
  <si>
    <t xml:space="preserve">traccar/traccar</t>
  </si>
  <si>
    <t xml:space="preserve">traccar-traccar-1c91d35263f1</t>
  </si>
  <si>
    <t xml:space="preserve">src/main/java/org/traccar/helper/StringUtil.java</t>
  </si>
  <si>
    <t xml:space="preserve">org.traccar.helper.StringUtil</t>
  </si>
  <si>
    <t xml:space="preserve">Không có file test nào (trong 382 file đã quét tại commit đã fix) nhắc tới StringUtil qua cùng package, import hoặc tên đầy đủ.</t>
  </si>
  <si>
    <t xml:space="preserve">traccar-traccar-8ae0436e5edb</t>
  </si>
  <si>
    <t xml:space="preserve">src/main/java/org/traccar/helper/Parser.java</t>
  </si>
  <si>
    <t xml:space="preserve">org.traccar.helper.Parser</t>
  </si>
  <si>
    <t xml:space="preserve">Không có file test nào (trong 382 file đã quét tại commit đã fix) nhắc tới Parser qua cùng package, import hoặc tên đầy đủ.</t>
  </si>
  <si>
    <t xml:space="preserve">traccar-traccar-adbe25e9daa1</t>
  </si>
  <si>
    <t xml:space="preserve">src/main/java/org/traccar/api/MediaFilter.java</t>
  </si>
  <si>
    <t xml:space="preserve">org.traccar.api.MediaFilter</t>
  </si>
  <si>
    <t xml:space="preserve">Không có file test nào (trong 386 file đã quét tại commit đã fix) nhắc tới MediaFilter qua cùng package, import hoặc tên đầy đủ.</t>
  </si>
  <si>
    <t xml:space="preserve">src/main/java/org/traccar/model/ExtendedModel.java</t>
  </si>
  <si>
    <t xml:space="preserve">org.traccar.model.ExtendedModel</t>
  </si>
  <si>
    <t xml:space="preserve">Không có file test nào (trong 386 file đã quét tại commit đã fix) nhắc tới ExtendedModel qua cùng package, import hoặc tên đầy đủ.</t>
  </si>
  <si>
    <t xml:space="preserve">src/main/java/org/traccar/web/CharResponseWrapper.java</t>
  </si>
  <si>
    <t xml:space="preserve">org.traccar.web.CharResponseWrapper</t>
  </si>
  <si>
    <t xml:space="preserve">Không có file test nào (trong 386 file đã quét tại commit đã fix) nhắc tới CharResponseWrapper qua cùng package, import hoặc tên đầy đủ.</t>
  </si>
  <si>
    <t xml:space="preserve">src/main/java/org/traccar/web/ModernDefaultServlet.java</t>
  </si>
  <si>
    <t xml:space="preserve">org.traccar.web.ModernDefaultServlet</t>
  </si>
  <si>
    <t xml:space="preserve">Không có file test nào (trong 386 file đã quét tại commit đã fix) nhắc tới ModernDefaultServlet qua cùng package, import hoặc tên đầy đủ.</t>
  </si>
  <si>
    <t xml:space="preserve">src/main/java/org/traccar/web/OverrideFilter.java</t>
  </si>
  <si>
    <t xml:space="preserve">org.traccar.web.OverrideFilter</t>
  </si>
  <si>
    <t xml:space="preserve">Không có file test nào (trong 386 file đã quét tại commit đã fix) nhắc tới OverrideFilter qua cùng package, import hoặc tên đầy đủ.</t>
  </si>
  <si>
    <t xml:space="preserve">src/main/java/org/traccar/web/WebModule.java</t>
  </si>
  <si>
    <t xml:space="preserve">org.traccar.web.WebModule</t>
  </si>
  <si>
    <t xml:space="preserve">Không có file test nào (trong 386 file đã quét tại commit đã fix) nhắc tới WebModule qua cùng package, import hoặc tên đầy đủ.</t>
  </si>
  <si>
    <t xml:space="preserve">traccar-traccar-b4934e05aab6</t>
  </si>
  <si>
    <t xml:space="preserve">src/main/java/org/traccar/api/resource/CommandResource.java</t>
  </si>
  <si>
    <t xml:space="preserve">org.traccar.api.resource.CommandResource</t>
  </si>
  <si>
    <t xml:space="preserve">Không có file test nào (trong 382 file đã quét tại commit đã fix) nhắc tới CommandResource qua cùng package, import hoặc tên đầy đủ.</t>
  </si>
  <si>
    <t xml:space="preserve">src/main/java/org/traccar/api/resource/ReportResource.java</t>
  </si>
  <si>
    <t xml:space="preserve">org.traccar.api.resource.ReportResource</t>
  </si>
  <si>
    <t xml:space="preserve">Không có file test nào (trong 382 file đã quét tại commit đã fix) nhắc tới ReportResource qua cùng package, import hoặc tên đầy đủ.</t>
  </si>
  <si>
    <t xml:space="preserve">src/main/java/org/traccar/handler/ComputedAttributesHandler.java</t>
  </si>
  <si>
    <t xml:space="preserve">org.traccar.handler.ComputedAttributesHandler</t>
  </si>
  <si>
    <t xml:space="preserve">src/test/java/org/traccar/handler/ComputedAttributesTest.java</t>
  </si>
  <si>
    <t xml:space="preserve">ComputedAttributesTest.java: 1/1 test method gọi trực tiếp ComputedAttributesHandler (testComputedAttributes); ví dụ: ComputedAttributesHandler handler = new ComputedAttributesHandler(new Config(), null);</t>
  </si>
  <si>
    <t xml:space="preserve">src/main/java/org/traccar/helper/ClassScanner.java</t>
  </si>
  <si>
    <t xml:space="preserve">org.traccar.helper.ClassScanner</t>
  </si>
  <si>
    <t xml:space="preserve">Không có file test nào (trong 382 file đã quét tại commit đã fix) nhắc tới ClassScanner qua cùng package, import hoặc tên đầy đủ.</t>
  </si>
  <si>
    <t xml:space="preserve">src/main/java/org/traccar/model/Report.java</t>
  </si>
  <si>
    <t xml:space="preserve">org.traccar.model.Report</t>
  </si>
  <si>
    <t xml:space="preserve">Không có file test nào (trong 382 file đã quét tại commit đã fix) nhắc tới Report qua cùng package, import hoặc tên đầy đủ.</t>
  </si>
  <si>
    <t xml:space="preserve">src/main/java/org/traccar/reports/common/ReportExecutor.java</t>
  </si>
  <si>
    <t xml:space="preserve">org.traccar.reports.common.ReportExecutor</t>
  </si>
  <si>
    <t xml:space="preserve">Không có file test nào (trong 382 file đã quét tại commit đã fix) nhắc tới ReportExecutor qua cùng package, import hoặc tên đầy đủ.</t>
  </si>
  <si>
    <t xml:space="preserve">src/main/java/org/traccar/reports/common/ReportMailer.java</t>
  </si>
  <si>
    <t xml:space="preserve">org.traccar.reports.common.ReportMailer</t>
  </si>
  <si>
    <t xml:space="preserve">Không có file test nào (trong 382 file đã quét tại commit đã fix) nhắc tới ReportMailer qua cùng package, import hoặc tên đầy đủ.</t>
  </si>
  <si>
    <t xml:space="preserve">src/main/java/org/traccar/schedule/ScheduleManager.java</t>
  </si>
  <si>
    <t xml:space="preserve">org.traccar.schedule.ScheduleManager</t>
  </si>
  <si>
    <t xml:space="preserve">Không có file test nào (trong 382 file đã quét tại commit đã fix) nhắc tới ScheduleManager qua cùng package, import hoặc tên đầy đủ.</t>
  </si>
  <si>
    <t xml:space="preserve">src/main/java/org/traccar/schedule/TaskReports.java</t>
  </si>
  <si>
    <t xml:space="preserve">org.traccar.schedule.TaskReports</t>
  </si>
  <si>
    <t xml:space="preserve">Không có file test nào (trong 382 file đã quét tại commit đã fix) nhắc tới TaskReports qua cùng package, import hoặc tên đầy đủ.</t>
  </si>
  <si>
    <t xml:space="preserve">traccar-traccar-c68e92043cb5</t>
  </si>
  <si>
    <t xml:space="preserve">src/main/java/org/traccar/protocol/HuaShengProtocol.java</t>
  </si>
  <si>
    <t xml:space="preserve">org.traccar.protocol.HuaShengProtocol</t>
  </si>
  <si>
    <t xml:space="preserve">Không có file test nào (trong 384 file đã quét tại commit đã fix) nhắc tới HuaShengProtocol qua cùng package, import hoặc tên đầy đủ.</t>
  </si>
  <si>
    <t xml:space="preserve">traccar-traccar-d244b4bc4999</t>
  </si>
  <si>
    <t xml:space="preserve">Tiến độ label</t>
  </si>
  <si>
    <t xml:space="preserve">Chỉ số</t>
  </si>
  <si>
    <t xml:space="preserve">Giá trị</t>
  </si>
  <si>
    <t xml:space="preserve">Cách tính</t>
  </si>
  <si>
    <t xml:space="preserve">Tổng số CUT cần label</t>
  </si>
  <si>
    <t xml:space="preserve">Mọi CUT không có test trùng tên</t>
  </si>
  <si>
    <t xml:space="preserve">Đã quyết định</t>
  </si>
  <si>
    <t xml:space="preserve">Chưa label</t>
  </si>
  <si>
    <t xml:space="preserve">PAIRED thiếu test_class_path</t>
  </si>
  <si>
    <t xml:space="preserve">Phải bằng 0 trước khi xuất</t>
  </si>
  <si>
    <t xml:space="preserve">Đã có người kiểm tra</t>
  </si>
  <si>
    <t xml:space="preserve">Tỷ lệ đồng ý của người kiểm tra</t>
  </si>
  <si>
    <t xml:space="preserve">Có / số dòng đã kiểm tra</t>
  </si>
  <si>
    <t xml:space="preserve">Repo ưu tiên A có ≥ 1 CUT PAIRED</t>
  </si>
  <si>
    <t xml:space="preserve">Số repo mới có thể đưa vào preflight</t>
  </si>
  <si>
    <t xml:space="preserve">Khóa (STT-hạng)</t>
  </si>
  <si>
    <t xml:space="preserve">STT CUT</t>
  </si>
  <si>
    <t xml:space="preserve">Hạng</t>
  </si>
  <si>
    <t xml:space="preserve">Test ứng viên (đường dẫn)</t>
  </si>
  <si>
    <t xml:space="preserve">Ngôn ngữ</t>
  </si>
  <si>
    <t xml:space="preserve">Số test method</t>
  </si>
  <si>
    <t xml:space="preserve">Test method gọi trực tiếp CUT</t>
  </si>
  <si>
    <t xml:space="preserve">Tên method (tối đa 6)</t>
  </si>
  <si>
    <t xml:space="preserve">Cùng package</t>
  </si>
  <si>
    <t xml:space="preserve">Dòng ví dụ</t>
  </si>
  <si>
    <t xml:space="preserve">Mở trên GitHub</t>
  </si>
  <si>
    <t xml:space="preserve">1-1</t>
  </si>
  <si>
    <t xml:space="preserve">java</t>
  </si>
  <si>
    <t xml:space="preserve">testSendTemplateTextMessage</t>
  </si>
  <si>
    <t xml:space="preserve">Không</t>
  </si>
  <si>
    <t xml:space="preserve">.setLanguage(new Language(LanguageType.PT_BR))//</t>
  </si>
  <si>
    <t xml:space="preserve">1-2</t>
  </si>
  <si>
    <t xml:space="preserve">src/test/java/com/whatsapp/api/examples/SendTemplateButtonMessageExample.java</t>
  </si>
  <si>
    <t xml:space="preserve">1-3</t>
  </si>
  <si>
    <t xml:space="preserve">src/test/java/com/whatsapp/api/examples/SendTemplateTextMessageExample.java</t>
  </si>
  <si>
    <t xml:space="preserve">2-1</t>
  </si>
  <si>
    <t xml:space="preserve">testCreateMessageTemplate3, testCreateMessageTemplate4, testCreateMessageTemplateAuthentication, testCreateMessageTemplateMarketing2</t>
  </si>
  <si>
    <t xml:space="preserve">.addButton(new QuickReplyButton("SIM"))//</t>
  </si>
  <si>
    <t xml:space="preserve">2-2</t>
  </si>
  <si>
    <t xml:space="preserve">src/test/java/com/whatsapp/api/examples/CreateMessageTemplate3Example.java</t>
  </si>
  <si>
    <t xml:space="preserve">2-3</t>
  </si>
  <si>
    <t xml:space="preserve">src/test/java/com/whatsapp/api/examples/CreateMessageTemplate4Example.java</t>
  </si>
  <si>
    <t xml:space="preserve">2-4</t>
  </si>
  <si>
    <t xml:space="preserve">src/test/java/com/whatsapp/api/examples/CreateMessageTemplate6Example.java</t>
  </si>
  <si>
    <t xml:space="preserve">3-1</t>
  </si>
  <si>
    <t xml:space="preserve">testCreateMessageTemplateUtility1</t>
  </si>
  <si>
    <t xml:space="preserve">.addButton(new UrlButton("Assistir agora")//</t>
  </si>
  <si>
    <t xml:space="preserve">3-2</t>
  </si>
  <si>
    <t xml:space="preserve">src/test/java/com/whatsapp/api/examples/CreateMessageTemplate5Example.java</t>
  </si>
  <si>
    <t xml:space="preserve">4-1</t>
  </si>
  <si>
    <t xml:space="preserve">Có</t>
  </si>
  <si>
    <t xml:space="preserve">5-1</t>
  </si>
  <si>
    <t xml:space="preserve">6-1</t>
  </si>
  <si>
    <t xml:space="preserve">8-1</t>
  </si>
  <si>
    <t xml:space="preserve">testRecompile</t>
  </si>
  <si>
    <t xml:space="preserve">final Skript skript = new Skript(new DebugSkriptCompiler(stream));</t>
  </si>
  <si>
    <t xml:space="preserve">9-1</t>
  </si>
  <si>
    <t xml:space="preserve">groovy</t>
  </si>
  <si>
    <t xml:space="preserve">13-1</t>
  </si>
  <si>
    <t xml:space="preserve">single_threaded, multi_threaded_callable, multi_threaded_class_generation_garbage_collected, multi_threaded_class_generation</t>
  </si>
  <si>
    <t xml:space="preserve">assertEquals("foo", callable.invokeMethod("call", new Object[] { "foo" }));</t>
  </si>
  <si>
    <t xml:space="preserve">13-2</t>
  </si>
  <si>
    <t xml:space="preserve">src/test/java/bsh/TestBshScriptEngine.java</t>
  </si>
  <si>
    <t xml:space="preserve">test_bsh_script_engine_compile_return_this, test_bsh_script_engine_this_invoke_method</t>
  </si>
  <si>
    <t xml:space="preserve">invokeMethod = bshThis.getClass().getMethod("invokeMethod", new Class[] {String.class, Object[].class});</t>
  </si>
  <si>
    <t xml:space="preserve">13-3</t>
  </si>
  <si>
    <t xml:space="preserve">src/test/java/bsh/ReflectTest.java</t>
  </si>
  <si>
    <t xml:space="preserve">13-4</t>
  </si>
  <si>
    <t xml:space="preserve">src/test/java/bsh/PreparsedScriptTest.java</t>
  </si>
  <si>
    <t xml:space="preserve">13-5</t>
  </si>
  <si>
    <t xml:space="preserve">src/test/java/bsh/BshSerializationTest.java</t>
  </si>
  <si>
    <t xml:space="preserve">13-6</t>
  </si>
  <si>
    <t xml:space="preserve">src/test/java/bsh/ConsoleInterfaceTest.java</t>
  </si>
  <si>
    <t xml:space="preserve">18-1</t>
  </si>
  <si>
    <t xml:space="preserve">19-1</t>
  </si>
  <si>
    <t xml:space="preserve">testMissingClosingArray, testUnexpectedClosingArray, testOpenArrayNotAllowedBeginning, testOpenArrayNotAllowedAfterOperator, testOpenArrayNotAllowedAfterBrace, testCloseArrayNotAllowedBeginning</t>
  </si>
  <si>
    <t xml:space="preserve">assertThatThrownBy(() -&gt; new Tokenizer("a[2+4", configuration).parse())</t>
  </si>
  <si>
    <t xml:space="preserve">19-2</t>
  </si>
  <si>
    <t xml:space="preserve">src/test/java/com/ezylang/evalex/parser/TokenizerStructureTest.java</t>
  </si>
  <si>
    <t xml:space="preserve">testStructureSeparatorNotAllowedBegin, testStructureSeparatorNotAllowedOperator, testStructureNotAllowed</t>
  </si>
  <si>
    <t xml:space="preserve">assertThatThrownBy(() -&gt; new Tokenizer(".", configuration).parse())</t>
  </si>
  <si>
    <t xml:space="preserve">19-3</t>
  </si>
  <si>
    <t xml:space="preserve">src/test/java/com/ezylang/evalex/parser/TokenizerStringLiteralTest.java</t>
  </si>
  <si>
    <t xml:space="preserve">testErrorUnmatchedQuoteStart, testErrorUnmatchedQuoteOffset</t>
  </si>
  <si>
    <t xml:space="preserve">assertThatThrownBy(() -&gt; new Tokenizer("\"hello", configuration).parse())</t>
  </si>
  <si>
    <t xml:space="preserve">19-4</t>
  </si>
  <si>
    <t xml:space="preserve">src/test/java/com/ezylang/evalex/parser/TokenizerBracesTest.java</t>
  </si>
  <si>
    <t xml:space="preserve">testMissingClosingBrace, testUnexpectedClosingBrace</t>
  </si>
  <si>
    <t xml:space="preserve">assertThatThrownBy(() -&gt; new Tokenizer("(2+4", configuration).parse())</t>
  </si>
  <si>
    <t xml:space="preserve">19-5</t>
  </si>
  <si>
    <t xml:space="preserve">src/test/java/com/ezylang/evalex/parser/TokenizerNumberLiteralTest.java</t>
  </si>
  <si>
    <t xml:space="preserve">testScientificLiteralsParseException</t>
  </si>
  <si>
    <t xml:space="preserve">assertThatThrownBy(() -&gt; new Tokenizer(expression, configuration).parse())</t>
  </si>
  <si>
    <t xml:space="preserve">19-6</t>
  </si>
  <si>
    <t xml:space="preserve">src/test/java/com/ezylang/evalex/parser/TokenizerFunctionsTest.java</t>
  </si>
  <si>
    <t xml:space="preserve">testUndefinedFunction</t>
  </si>
  <si>
    <t xml:space="preserve">assertThatThrownBy(() -&gt; new Tokenizer("a(b)", configuration).parse())</t>
  </si>
  <si>
    <t xml:space="preserve">19-7</t>
  </si>
  <si>
    <t xml:space="preserve">src/test/java/com/ezylang/evalex/parser/TokenizerPrefixPostfixTest.java</t>
  </si>
  <si>
    <t xml:space="preserve">testPostfixAsPrefixThrowsException</t>
  </si>
  <si>
    <t xml:space="preserve">assertThatThrownBy(new Tokenizer("?a", configuration)::parse)</t>
  </si>
  <si>
    <t xml:space="preserve">19-8</t>
  </si>
  <si>
    <t xml:space="preserve">src/test/java/com/ezylang/evalex/parser/TokenizerExpressionTest.java</t>
  </si>
  <si>
    <t xml:space="preserve">testUndefinedOperator</t>
  </si>
  <si>
    <t xml:space="preserve">assertThatThrownBy(() -&gt; new Tokenizer("a $ b", configuration).parse())</t>
  </si>
  <si>
    <t xml:space="preserve">19-9</t>
  </si>
  <si>
    <t xml:space="preserve">src/test/java/com/ezylang/evalex/parser/TokenizerImplicitMultiplicationTest.java</t>
  </si>
  <si>
    <t xml:space="preserve">testImplicitMultiplicationNotAllowed</t>
  </si>
  <si>
    <t xml:space="preserve">assertThatThrownBy(() -&gt; new Tokenizer("2(x+y)", config).parse())</t>
  </si>
  <si>
    <t xml:space="preserve">19-10</t>
  </si>
  <si>
    <t xml:space="preserve">src/test/java/com/ezylang/evalex/parser/BaseParserTest.java</t>
  </si>
  <si>
    <t xml:space="preserve">21-1</t>
  </si>
  <si>
    <t xml:space="preserve">test_empty, test_alias, test_alias_path, test_module_type, test_signature_with_constraint, test_module_constraint</t>
  </si>
  <si>
    <t xml:space="preserve">assertEquals("M", e.getName());</t>
  </si>
  <si>
    <t xml:space="preserve">21-2</t>
  </si>
  <si>
    <t xml:space="preserve">src/test/java/com/reason/ide/search/reference/ORModuleResolutionPsiGistRMLTest.java</t>
  </si>
  <si>
    <t xml:space="preserve">21-3</t>
  </si>
  <si>
    <t xml:space="preserve">src/test/java/com/reason/ide/search/reference/ORModuleResolutionPsiGistRESTest.java</t>
  </si>
  <si>
    <t xml:space="preserve">26-1</t>
  </si>
  <si>
    <t xml:space="preserve">unknownMemberAndPastEnsembleThenStatusHidden, unknownMemberAndFutureEnsembleAndHasSpaceThenStatusUnknown, unknownMemberAndFutureEnsembleAndIsFullThenStatusFull, declinedMemberAndFutureEnsembleAndHasSpaceThenStatusDeclined, declinedMemberAndFutureEnsembleIsFullThenStatusDeclinedFull, acceptedMemberAndPastUncompletedEnsembleThenStatusPendingCompleted</t>
  </si>
  <si>
    <t xml:space="preserve">assertThat(pastEnsemble.statusFor(memberId, startDateTime.plusHours(3))) // duration defaults to 1h55m, so 3 hours means it's over</t>
  </si>
  <si>
    <t xml:space="preserve">26-2</t>
  </si>
  <si>
    <t xml:space="preserve">src/test/java/com/jitterted/mobreg/domain/EnsembleMembersTest.java</t>
  </si>
  <si>
    <t xml:space="preserve">newEnsembleHasZeroParticipants, joinAsSpectatorEnsembleRemembersTheMember, acceptedMemberWhenJoinAsSpectatorRemovesFromAccepted, declinedMemberWhenJoinAsSpectatorRemovesFromDeclined, spectatorWhenAcceptRemovesFromSpectators, acceptMemberByIdWithEnsembleRemembersTheMember</t>
  </si>
  <si>
    <t xml:space="preserve">assertThat(ensemble.acceptedCount())</t>
  </si>
  <si>
    <t xml:space="preserve">26-3</t>
  </si>
  <si>
    <t xml:space="preserve">src/test/java/com/jitterted/mobreg/domain/EnsembleEditTest.java</t>
  </si>
  <si>
    <t xml:space="preserve">canChangeNameForExistingEnsemble, changeNameToNullNotAllowed, canChangeToExistingName, canChangeNameAfterCompleted, canChangeStartDateTime, changeDateTimeToNullNotAllowed</t>
  </si>
  <si>
    <t xml:space="preserve">Ensemble before = new Ensemble("before", ZonedDateTime.now());</t>
  </si>
  <si>
    <t xml:space="preserve">26-4</t>
  </si>
  <si>
    <t xml:space="preserve">src/test/java/com/jitterted/mobreg/domain/EnsembleStateTest.java</t>
  </si>
  <si>
    <t xml:space="preserve">newEnsembleIsNotCanceled, newEnsembleIsNotCompleted, whenCompletingEnsembleThenEnsembleIsCompleted, whenCancelingScheduledEnsembleThenEnsembleIsCanceled, canceledEnsembleWhenAcceptMemberThrowsException, completedEnsembleWhenRegisterMemberThrowsException</t>
  </si>
  <si>
    <t xml:space="preserve">assertThat(ensemble.isCanceled())</t>
  </si>
  <si>
    <t xml:space="preserve">26-5</t>
  </si>
  <si>
    <t xml:space="preserve">src/test/java/com/jitterted/mobreg/adapter/in/web/admin/AdminDashboardControllerTest.java</t>
  </si>
  <si>
    <t xml:space="preserve">givenOneEnsembleResultsInEnsembleInViewModel, changeExistingEnsembleResultsInChangesSaved, completeEnsembleCompletesTheEnsembleWithRecordingLinkAndRedirects, cancelEnsembleThenEnsembleIsCanceled, manuallyRegisterExistingMemberForEnsemble</t>
  </si>
  <si>
    <t xml:space="preserve">ensembleRepository.save(new Ensemble("Name", ZonedDateTime.now()));</t>
  </si>
  <si>
    <t xml:space="preserve">26-6</t>
  </si>
  <si>
    <t xml:space="preserve">src/test/java/com/jitterted/mobreg/domain/EnsembleMemberRsvpTest.java</t>
  </si>
  <si>
    <t xml:space="preserve">unregisteredMemberIsRsvpUnknown, registeredMemberIsRsvpAccepted, memberWhoDeclinesIsRsvpDeclined, acceptedMemberWhenDeclinesIsRsvpDeclined, declinedMemberWhenAcceptsAndSpaceAvailableIsRsvpAccepted</t>
  </si>
  <si>
    <t xml:space="preserve">assertThat(ensemble.rsvpOf(memberId))</t>
  </si>
  <si>
    <t xml:space="preserve">26-7</t>
  </si>
  <si>
    <t xml:space="preserve">src/test/java/com/jitterted/mobreg/adapter/in/web/member/EnsembleSummaryViewTest.java</t>
  </si>
  <si>
    <t xml:space="preserve">withAnotherAcceptedMemberThenMemberAcceptedIsFalse, memberAcceptedIsTrueWhenMemberEnsembleParticipant, ensembleWithRecordingThenViewIncludesStringOfLink, ensembleWithAcceptedMembersGetsInfoOnAndShowsWhoAccepted</t>
  </si>
  <si>
    <t xml:space="preserve">ensemble.acceptedBy(member.getId());</t>
  </si>
  <si>
    <t xml:space="preserve">26-8</t>
  </si>
  <si>
    <t xml:space="preserve">src/test/java/com/jitterted/mobreg/adapter/out/jdbc/EnsembleRepositoryDataJdbcAdapterTest.java</t>
  </si>
  <si>
    <t xml:space="preserve">savedEnsembleCanBeFoundByItsId, whenEnsembleMeetingLinkIsStoredThenIsRetrievedByFind, whenEnsembleCompletedWithRecordingLinkThenIsStoredSuccessfully</t>
  </si>
  <si>
    <t xml:space="preserve">Optional&lt;Ensemble&gt; found = ensembleRepositoryAdapter.findById(savedEnsemble.getId());</t>
  </si>
  <si>
    <t xml:space="preserve">26-9</t>
  </si>
  <si>
    <t xml:space="preserve">src/test/java/com/jitterted/mobreg/application/EnsembleServiceScheduleTest.java</t>
  </si>
  <si>
    <t xml:space="preserve">ensembleScheduledWithManuallyEnteredZoomLinkThenHasZoomLink, ensembleScheduledThenZoomLinkFetchedFromApiHasConferenceDetails, apiFailedToReturnValidConferenceDetailsThenConferenceDetailsIsDefaultUnscheduled</t>
  </si>
  <si>
    <t xml:space="preserve">.extracting(Ensemble::meetingLink)</t>
  </si>
  <si>
    <t xml:space="preserve">26-10</t>
  </si>
  <si>
    <t xml:space="preserve">src/test/java/com/jitterted/mobreg/adapter/in/web/member/MemberControllerTest.java</t>
  </si>
  <si>
    <t xml:space="preserve">ensembleFormContainsMemberIdForOAuth2User, memberRegistersForEnsembleWillBeRegisteredForThatEnsemble, memberDeclinesWillBeDeclinedForEnsemble</t>
  </si>
  <si>
    <t xml:space="preserve">ensembleRepository.save(new Ensemble("GET Test", ZonedDateTime.now()));</t>
  </si>
  <si>
    <t xml:space="preserve">26-11</t>
  </si>
  <si>
    <t xml:space="preserve">src/test/java/com/jitterted/mobreg/application/EnsembleServiceEditExistingTest.java</t>
  </si>
  <si>
    <t xml:space="preserve">changesToNameAndDateTimeForExistingEnsembleAreSaved, changingZoomLinkToBeBlankThenFetchesNewLinkViaSchedulerApi, changingZoomLinkWithValidLinkThenStoresNewLinkDoesNotFetchFromScheduler</t>
  </si>
  <si>
    <t xml:space="preserve">Ensemble ensemble = new Ensemble("Before", URI.create("https://zoom.us/before"),</t>
  </si>
  <si>
    <t xml:space="preserve">26-12</t>
  </si>
  <si>
    <t xml:space="preserve">src/test/java/com/jitterted/mobreg/adapter/in/web/admin/DashboardEnsembleViewTest.java</t>
  </si>
  <si>
    <t xml:space="preserve">detailViewOfExistingEnsembleByItsIdIsReturned, detailViewOfExistingEnsembleWithOneParticipantReturnsEnsembleWithParticipantView</t>
  </si>
  <si>
    <t xml:space="preserve">Ensemble savedEnsemble = ensembleRepository.save(new Ensemble("Ensemble #1", ZonedDateTime.now()));</t>
  </si>
  <si>
    <t xml:space="preserve">26-13</t>
  </si>
  <si>
    <t xml:space="preserve">src/test/java/com/jitterted/mobreg/application/EnsembleServiceCancelTest.java</t>
  </si>
  <si>
    <t xml:space="preserve">canceledEnsembleIsSavedInRepositoryAsCanceled, canceledEnsembleDeletesVideoConferenceMeeting</t>
  </si>
  <si>
    <t xml:space="preserve">assertThat(foundEnsemble.isCanceled())</t>
  </si>
  <si>
    <t xml:space="preserve">26-14</t>
  </si>
  <si>
    <t xml:space="preserve">src/test/java/com/jitterted/mobreg/application/EnsembleServiceFindTest.java</t>
  </si>
  <si>
    <t xml:space="preserve">whenRepositoryHasEnsembleFindByItsIdReturnsItInAnOptional, allEnsemblesOrderedByDateTimeDescendingIsInCorrectOrder</t>
  </si>
  <si>
    <t xml:space="preserve">Ensemble savedEnsemble = ensembleRepository.save(new Ensemble("test", ZonedDateTime.now()));</t>
  </si>
  <si>
    <t xml:space="preserve">26-15</t>
  </si>
  <si>
    <t xml:space="preserve">src/test/java/com/jitterted/mobreg/adapter/in/web/admin/EnsembleDetailViewTest.java</t>
  </si>
  <si>
    <t xml:space="preserve">ensembleIdIsTranslatedFromDomainIntoView, viewContainsDetailsForAcceptedAndDeclinedMembersInEnsemble</t>
  </si>
  <si>
    <t xml:space="preserve">Ensemble ensemble = new Ensemble("test", ZonedDateTime.now());</t>
  </si>
  <si>
    <t xml:space="preserve">26-16</t>
  </si>
  <si>
    <t xml:space="preserve">src/test/java/com/jitterted/mobreg/adapter/out/email/EmailToSendEnsembleScheduledNotifierTest.java</t>
  </si>
  <si>
    <t xml:space="preserve">memberWithEmailWhenEnsembleScheduledThenCustomEmailSentToMember, membersInDifferentTimeZonesGetCustomizedEnsembleScheduledEmail</t>
  </si>
  <si>
    <t xml:space="preserve">Ensemble ensemble = new Ensemble("Ensemble #314", URI.create("https://zoom.us"), ZonedDateTime.of(2021, 12, 3, 17, 0, 0, 0, ZoneOffset.UTC));</t>
  </si>
  <si>
    <t xml:space="preserve">26-17</t>
  </si>
  <si>
    <t xml:space="preserve">src/test/java/com/jitterted/mobreg/adapter/out/email/EmailToSendMemberAcceptedNotifierTest.java</t>
  </si>
  <si>
    <t xml:space="preserve">memberWithEmailAcceptsThenEmailSentToMemberWithEnsembleDetails, memberWithoutEmailRegistersThenNoEmailIsSent</t>
  </si>
  <si>
    <t xml:space="preserve">Ensemble ensemble = new Ensemble("Ensemble #123", URI.create("https://zoom.us"), ZonedDateTime.of(2021, 10, 20, 16, 0, 0, 0, ZoneOffset.UTC));</t>
  </si>
  <si>
    <t xml:space="preserve">26-18</t>
  </si>
  <si>
    <t xml:space="preserve">src/test/java/com/jitterted/mobreg/adapter/out/jdbc/EnsembleDboMappingTest.java</t>
  </si>
  <si>
    <t xml:space="preserve">databaseEntityToDomainIsMappedCorrectly, domainToDatabaseEntityIsMappedCorrectly</t>
  </si>
  <si>
    <t xml:space="preserve">assertThat(ensemble.isCompleted())</t>
  </si>
  <si>
    <t xml:space="preserve">26-19</t>
  </si>
  <si>
    <t xml:space="preserve">src/test/java/com/jitterted/mobreg/adapter/out/email/EmailToSendMembersWhenEnsembleCompletedTest.java</t>
  </si>
  <si>
    <t xml:space="preserve">emailContentIsFormattedCorrectly</t>
  </si>
  <si>
    <t xml:space="preserve">ensembleService.completeWith(darkMode.getId(), "https://recording.link/completed");</t>
  </si>
  <si>
    <t xml:space="preserve">26-20</t>
  </si>
  <si>
    <t xml:space="preserve">src/test/java/com/jitterted/mobreg/adapter/out/jdbc/PostgresqlEntityTest.java</t>
  </si>
  <si>
    <t xml:space="preserve">ensembleEntityStoredViaJdbcIsRetrievedWithMembers</t>
  </si>
  <si>
    <t xml:space="preserve">Ensemble original = new Ensemble("entity", ZonedDateTime.of(2021, 1, 3, 0, 0, 0, 0, ZoneId.systemDefault()));</t>
  </si>
  <si>
    <t xml:space="preserve">26-21</t>
  </si>
  <si>
    <t xml:space="preserve">src/test/java/com/jitterted/mobreg/application/EnsembleServiceCompletedTest.java</t>
  </si>
  <si>
    <t xml:space="preserve">completedEnsembleIsCompletedWithLinkAndSavedInRepository</t>
  </si>
  <si>
    <t xml:space="preserve">Ensemble ensemble = new Ensemble("Completed", ZonedDateTime.now());</t>
  </si>
  <si>
    <t xml:space="preserve">26-22</t>
  </si>
  <si>
    <t xml:space="preserve">src/test/java/com/jitterted/mobreg/adapter/out/jdbc/EnsembleServiceMemberTest.java</t>
  </si>
  <si>
    <t xml:space="preserve">existingMemberRegistersForEnsembleThenIsRegisteredMember</t>
  </si>
  <si>
    <t xml:space="preserve">26-23</t>
  </si>
  <si>
    <t xml:space="preserve">src/test/java/com/jitterted/mobreg/adapter/out/mobtimer/MobParticipantsDtoCreationTest.java</t>
  </si>
  <si>
    <t xml:space="preserve">convertsEnsembleToMobParticipantsDto</t>
  </si>
  <si>
    <t xml:space="preserve">26-24</t>
  </si>
  <si>
    <t xml:space="preserve">src/test/java/com/jitterted/mobreg/adapter/out/mobtimer/MobTimerMessageSenderTest.java</t>
  </si>
  <si>
    <t xml:space="preserve">mobPeopleUpdated</t>
  </si>
  <si>
    <t xml:space="preserve">26-25</t>
  </si>
  <si>
    <t xml:space="preserve">src/test/java/com/jitterted/mobreg/application/EnsembleServiceMemberRegistrationNotificationTest.java</t>
  </si>
  <si>
    <t xml:space="preserve">memberRegistersForEnsembleThenReceivesEmailWithEnsembleDetailInfo</t>
  </si>
  <si>
    <t xml:space="preserve">Ensemble ensemble = new Ensemble("scheduled",</t>
  </si>
  <si>
    <t xml:space="preserve">26-26</t>
  </si>
  <si>
    <t xml:space="preserve">src/test/java/com/jitterted/mobreg/application/GoogleCalendarLinkCreatorTest.java</t>
  </si>
  <si>
    <t xml:space="preserve">googleCalendarLinkGeneratedFromEnsembleWithZoomLinkInDetails</t>
  </si>
  <si>
    <t xml:space="preserve">Ensemble calendarEnsemble = new Ensemble("Calendar Ensemble",</t>
  </si>
  <si>
    <t xml:space="preserve">26-27</t>
  </si>
  <si>
    <t xml:space="preserve">src/test/java/com/jitterted/mobreg/adapter/in/web/admin/AdminEndpointConfigurationTest.java</t>
  </si>
  <si>
    <t xml:space="preserve">26-28</t>
  </si>
  <si>
    <t xml:space="preserve">src/test/java/com/jitterted/mobreg/application/EnsembleServiceEnsembleScheduledNotificationTest.java</t>
  </si>
  <si>
    <t xml:space="preserve">26-29</t>
  </si>
  <si>
    <t xml:space="preserve">src/test/java/com/jitterted/mobreg/adapter/in/web/admin/ScheduleEnsembleFormTest.java</t>
  </si>
  <si>
    <t xml:space="preserve">26-30</t>
  </si>
  <si>
    <t xml:space="preserve">src/test/java/com/jitterted/mobreg/application/DeleteMeetingConferenceSchedulerMock.java</t>
  </si>
  <si>
    <t xml:space="preserve">26-31</t>
  </si>
  <si>
    <t xml:space="preserve">src/test/java/com/jitterted/mobreg/application/FailsToCreateMeetingConferenceScheduler.java</t>
  </si>
  <si>
    <t xml:space="preserve">26-32</t>
  </si>
  <si>
    <t xml:space="preserve">src/test/java/com/jitterted/mobreg/application/TestEnsembleServiceBuilder.java</t>
  </si>
  <si>
    <t xml:space="preserve">26-33</t>
  </si>
  <si>
    <t xml:space="preserve">src/test/java/com/jitterted/mobreg/application/ZoomConferenceSchedulerDeletesExpectedMeetingId.java</t>
  </si>
  <si>
    <t xml:space="preserve">26-34</t>
  </si>
  <si>
    <t xml:space="preserve">src/test/java/com/jitterted/mobreg/application/port/DummyNotifier.java</t>
  </si>
  <si>
    <t xml:space="preserve">26-35</t>
  </si>
  <si>
    <t xml:space="preserve">src/test/java/com/jitterted/mobreg/application/port/DummyVideoConferenceScheduler.java</t>
  </si>
  <si>
    <t xml:space="preserve">26-36</t>
  </si>
  <si>
    <t xml:space="preserve">src/test/java/com/jitterted/mobreg/domain/EnsembleBuilderAndSaviour.java</t>
  </si>
  <si>
    <t xml:space="preserve">26-37</t>
  </si>
  <si>
    <t xml:space="preserve">src/test/java/com/jitterted/mobreg/domain/EnsembleFactory.java</t>
  </si>
  <si>
    <t xml:space="preserve">27-1</t>
  </si>
  <si>
    <t xml:space="preserve">27-2</t>
  </si>
  <si>
    <t xml:space="preserve">newEnsembleHasZeroParticipants, joinAsSpectatorEnsembleRemembersTheMember, acceptedMemberWhenJoinAsSpectatorRemovesFromAccepted, declinedMemberWhenJoinAsSpectatorRemovesFromDeclined, acceptMemberByIdWithEnsembleRemembersTheMember, acceptedMemberIsFoundAsRegisteredByMemberId</t>
  </si>
  <si>
    <t xml:space="preserve">27-3</t>
  </si>
  <si>
    <t xml:space="preserve">27-4</t>
  </si>
  <si>
    <t xml:space="preserve">27-5</t>
  </si>
  <si>
    <t xml:space="preserve">27-6</t>
  </si>
  <si>
    <t xml:space="preserve">27-7</t>
  </si>
  <si>
    <t xml:space="preserve">27-8</t>
  </si>
  <si>
    <t xml:space="preserve">27-9</t>
  </si>
  <si>
    <t xml:space="preserve">27-10</t>
  </si>
  <si>
    <t xml:space="preserve">27-11</t>
  </si>
  <si>
    <t xml:space="preserve">27-12</t>
  </si>
  <si>
    <t xml:space="preserve">27-13</t>
  </si>
  <si>
    <t xml:space="preserve">27-14</t>
  </si>
  <si>
    <t xml:space="preserve">27-15</t>
  </si>
  <si>
    <t xml:space="preserve">27-16</t>
  </si>
  <si>
    <t xml:space="preserve">27-17</t>
  </si>
  <si>
    <t xml:space="preserve">27-18</t>
  </si>
  <si>
    <t xml:space="preserve">27-19</t>
  </si>
  <si>
    <t xml:space="preserve">27-20</t>
  </si>
  <si>
    <t xml:space="preserve">27-21</t>
  </si>
  <si>
    <t xml:space="preserve">27-22</t>
  </si>
  <si>
    <t xml:space="preserve">27-23</t>
  </si>
  <si>
    <t xml:space="preserve">27-24</t>
  </si>
  <si>
    <t xml:space="preserve">27-25</t>
  </si>
  <si>
    <t xml:space="preserve">27-26</t>
  </si>
  <si>
    <t xml:space="preserve">27-27</t>
  </si>
  <si>
    <t xml:space="preserve">27-28</t>
  </si>
  <si>
    <t xml:space="preserve">27-29</t>
  </si>
  <si>
    <t xml:space="preserve">27-30</t>
  </si>
  <si>
    <t xml:space="preserve">27-31</t>
  </si>
  <si>
    <t xml:space="preserve">27-32</t>
  </si>
  <si>
    <t xml:space="preserve">27-33</t>
  </si>
  <si>
    <t xml:space="preserve">27-34</t>
  </si>
  <si>
    <t xml:space="preserve">27-35</t>
  </si>
  <si>
    <t xml:space="preserve">27-36</t>
  </si>
  <si>
    <t xml:space="preserve">27-37</t>
  </si>
  <si>
    <t xml:space="preserve">28-1</t>
  </si>
  <si>
    <t xml:space="preserve">28-2</t>
  </si>
  <si>
    <t xml:space="preserve">newEnsembleHasZeroParticipants, joinAsSpectatorEnsembleRemembersTheMember, acceptedMemberWhenJoinAsSpectatorRemovesFromAccepted, declinedMemberWhenJoinAsSpectatorRemovesFromDeclined, spectatorWhenAcceptRemovesFromSpectators, spectatorWhenDeclineRemovesFromSpectators</t>
  </si>
  <si>
    <t xml:space="preserve">28-3</t>
  </si>
  <si>
    <t xml:space="preserve">28-4</t>
  </si>
  <si>
    <t xml:space="preserve">28-5</t>
  </si>
  <si>
    <t xml:space="preserve">28-6</t>
  </si>
  <si>
    <t xml:space="preserve">28-7</t>
  </si>
  <si>
    <t xml:space="preserve">28-8</t>
  </si>
  <si>
    <t xml:space="preserve">28-9</t>
  </si>
  <si>
    <t xml:space="preserve">28-10</t>
  </si>
  <si>
    <t xml:space="preserve">28-11</t>
  </si>
  <si>
    <t xml:space="preserve">28-12</t>
  </si>
  <si>
    <t xml:space="preserve">28-13</t>
  </si>
  <si>
    <t xml:space="preserve">28-14</t>
  </si>
  <si>
    <t xml:space="preserve">28-15</t>
  </si>
  <si>
    <t xml:space="preserve">28-16</t>
  </si>
  <si>
    <t xml:space="preserve">28-17</t>
  </si>
  <si>
    <t xml:space="preserve">28-18</t>
  </si>
  <si>
    <t xml:space="preserve">28-19</t>
  </si>
  <si>
    <t xml:space="preserve">28-20</t>
  </si>
  <si>
    <t xml:space="preserve">28-21</t>
  </si>
  <si>
    <t xml:space="preserve">28-22</t>
  </si>
  <si>
    <t xml:space="preserve">28-23</t>
  </si>
  <si>
    <t xml:space="preserve">28-24</t>
  </si>
  <si>
    <t xml:space="preserve">28-25</t>
  </si>
  <si>
    <t xml:space="preserve">28-26</t>
  </si>
  <si>
    <t xml:space="preserve">28-27</t>
  </si>
  <si>
    <t xml:space="preserve">28-28</t>
  </si>
  <si>
    <t xml:space="preserve">28-29</t>
  </si>
  <si>
    <t xml:space="preserve">28-30</t>
  </si>
  <si>
    <t xml:space="preserve">28-31</t>
  </si>
  <si>
    <t xml:space="preserve">28-32</t>
  </si>
  <si>
    <t xml:space="preserve">28-33</t>
  </si>
  <si>
    <t xml:space="preserve">28-34</t>
  </si>
  <si>
    <t xml:space="preserve">28-35</t>
  </si>
  <si>
    <t xml:space="preserve">28-36</t>
  </si>
  <si>
    <t xml:space="preserve">28-37</t>
  </si>
  <si>
    <t xml:space="preserve">30-1</t>
  </si>
  <si>
    <t xml:space="preserve">R_component_get_parsed_into_resolution_parameter_map, R_component_can_hold_multiple_parameters, Q_component_get_parsed_into_query_parameter_map, Trailing_dash_is_ignored, F_component_gets_parsed_into_fragment_string, Resolution_parameters_without_values_get_empty_value</t>
  </si>
  <si>
    <t xml:space="preserve">Map&lt;String, String&gt; resolutionParameters = rqf.resolutionParameters();</t>
  </si>
  <si>
    <t xml:space="preserve">30-2</t>
  </si>
  <si>
    <t xml:space="preserve">src/test/java/de/slub/urn/RQFRFC8141Test.java</t>
  </si>
  <si>
    <t xml:space="preserve">NULL_object_is_empty, Passing_null_as_resolutionParameterMap_throws_exception, Passing_null_as_queryParameterMap_throws_exception, Passing_null_as_fragment_throws_exception, ToString_With_Parameters_And_Fragment, ToString_Without_Parameter_And_Fragment</t>
  </si>
  <si>
    <t xml:space="preserve">assertTrue(n.resolutionParameters().isEmpty());</t>
  </si>
  <si>
    <t xml:space="preserve">31-1</t>
  </si>
  <si>
    <t xml:space="preserve">testParseAccountName, testParseWithIllegalUriCharacters</t>
  </si>
  <si>
    <t xml:space="preserve">SnowflakeConnectString cstring = SnowflakeConnectString.parse(jdbcConnectString, info);</t>
  </si>
  <si>
    <t xml:space="preserve">31-2</t>
  </si>
  <si>
    <t xml:space="preserve">src/test/java/net/snowflake/client/jdbc/SnowflakeDriverTest.java</t>
  </si>
  <si>
    <t xml:space="preserve">testAcceptUrls</t>
  </si>
  <si>
    <t xml:space="preserve">t.match(t.url, SnowflakeConnectString.parse(t.url, SnowflakeDriver.EMPTY_PROPERTIES));</t>
  </si>
  <si>
    <t xml:space="preserve">31-3</t>
  </si>
  <si>
    <t xml:space="preserve">src/test/java/net/snowflake/client/jdbc/SnowflakeConnectionV1Test.java</t>
  </si>
  <si>
    <t xml:space="preserve">testMergeProperties</t>
  </si>
  <si>
    <t xml:space="preserve">conStr = SnowflakeConnectString.parse("jdbc:snowflake://testaccount.localhost:8080", prop);</t>
  </si>
  <si>
    <t xml:space="preserve">31-4</t>
  </si>
  <si>
    <t xml:space="preserve">src/test/java/net/snowflake/client/jdbc/MockConnectionTest.java</t>
  </si>
  <si>
    <t xml:space="preserve">32-1</t>
  </si>
  <si>
    <t xml:space="preserve">testGetFileTransferCommandType, testNullCommand, testCompressStreamWithGzipException, testCompressStreamWithGzipNoDigestException, testUploadWithoutConnectionException, testInitFileMetadataFileNotFound</t>
  </si>
  <si>
    <t xml:space="preserve">new SnowflakeFileTransferAgent(PUT_COMMAND, sfSession, new SFStatement(sfSession));</t>
  </si>
  <si>
    <t xml:space="preserve">32-2</t>
  </si>
  <si>
    <t xml:space="preserve">src/test/java/net/snowflake/client/jdbc/FileUploaderSessionlessTest.java</t>
  </si>
  <si>
    <t xml:space="preserve">testGetEncryptionMaterialMissing, testGetEncryptionMaterial, testGetS3StageData, testGetS3StageDataWithStageEndpoint, testGetAzureStageData, testGetGCSStageData</t>
  </si>
  <si>
    <t xml:space="preserve">SnowflakeFileTransferAgent.getEncryptionMaterial(</t>
  </si>
  <si>
    <t xml:space="preserve">32-3</t>
  </si>
  <si>
    <t xml:space="preserve">src/test/java/net/snowflake/client/jdbc/SnowflakeDriverLatestIT.java</t>
  </si>
  <si>
    <t xml:space="preserve">testGCPFileTransferMetadataWithOneFile, testNoSpaceLeftOnDeviceException</t>
  </si>
  <si>
    <t xml:space="preserve">new SnowflakeFileTransferAgent(putCommand1, sfSession, new SFStatement(sfSession));</t>
  </si>
  <si>
    <t xml:space="preserve">32-4</t>
  </si>
  <si>
    <t xml:space="preserve">src/test/java/net/snowflake/client/jdbc/FileUploaderExpandFileNamesTest.java</t>
  </si>
  <si>
    <t xml:space="preserve">testProcessFileNames, testProcessFileNamesException</t>
  </si>
  <si>
    <t xml:space="preserve">Set&lt;String&gt; files = SnowflakeFileTransferAgent.expandFileNames(locations);</t>
  </si>
  <si>
    <t xml:space="preserve">32-5</t>
  </si>
  <si>
    <t xml:space="preserve">src/test/java/net/snowflake/client/jdbc/FileUploaderMimeTypeToCompressionTypeTest.java</t>
  </si>
  <si>
    <t xml:space="preserve">testMimeTypeToCompressionType</t>
  </si>
  <si>
    <t xml:space="preserve">SnowflakeFileTransferAgent.mimeTypeToCompressionType(mimeType);</t>
  </si>
  <si>
    <t xml:space="preserve">32-6</t>
  </si>
  <si>
    <t xml:space="preserve">src/test/java/net/snowflake/client/jdbc/cloud/storage/SnowflakeS3ClientLatestIT.java</t>
  </si>
  <si>
    <t xml:space="preserve">32-7</t>
  </si>
  <si>
    <t xml:space="preserve">src/test/java/net/snowflake/client/jdbc/SnowflakeAzureClientHandleExceptionLatestIT.java</t>
  </si>
  <si>
    <t xml:space="preserve">32-8</t>
  </si>
  <si>
    <t xml:space="preserve">src/test/java/net/snowflake/client/jdbc/SnowflakeGcsClientHandleExceptionLatestIT.java</t>
  </si>
  <si>
    <t xml:space="preserve">32-9</t>
  </si>
  <si>
    <t xml:space="preserve">src/test/java/net/snowflake/client/jdbc/SnowflakeS3ClientHandleExceptionLatestIT.java</t>
  </si>
  <si>
    <t xml:space="preserve">32-10</t>
  </si>
  <si>
    <t xml:space="preserve">src/test/java/net/snowflake/client/jdbc/cloud/storage/SnowflakeAzureClientLatestIT.java</t>
  </si>
  <si>
    <t xml:space="preserve">33-1</t>
  </si>
  <si>
    <t xml:space="preserve">testAllDependenciesInjectedAndLifeycleMethodsCalledOnce</t>
  </si>
  <si>
    <t xml:space="preserve">new SpringModule(BeanFactoryProvider.from(GuiceProjectWithSpringLibraryTestSpringConfig.class)));</t>
  </si>
  <si>
    <t xml:space="preserve">33-2</t>
  </si>
  <si>
    <t xml:space="preserve">src/test/java/org/springframework/guice/module/SpringModuleWrappedTests.java</t>
  </si>
  <si>
    <t xml:space="preserve">testDependenciesFromWrappedModule</t>
  </si>
  <si>
    <t xml:space="preserve">new SpringModule(BeanFactoryProvider.from(TestConfig.class, ModuleProviderConfig.class)));</t>
  </si>
  <si>
    <t xml:space="preserve">33-3</t>
  </si>
  <si>
    <t xml:space="preserve">src/test/java/org/springframework/guice/annotation/GuiceModuleAnnotationTests.java</t>
  </si>
  <si>
    <t xml:space="preserve">33-4</t>
  </si>
  <si>
    <t xml:space="preserve">src/test/java/org/springframework/guice/module/SpringModuleMetadataTests.java</t>
  </si>
  <si>
    <t xml:space="preserve">33-5</t>
  </si>
  <si>
    <t xml:space="preserve">src/test/java/org/springframework/guice/PartialInjectionTests.java</t>
  </si>
  <si>
    <t xml:space="preserve">33-6</t>
  </si>
  <si>
    <t xml:space="preserve">src/test/java/org/springframework/guice/MapBindingDeduplicationTests.java</t>
  </si>
  <si>
    <t xml:space="preserve">33-7</t>
  </si>
  <si>
    <t xml:space="preserve">src/test/java/org/springframework/guice/module/SpringModuleWiringTests.java</t>
  </si>
  <si>
    <t xml:space="preserve">35-1</t>
  </si>
  <si>
    <t xml:space="preserve">stringEq, stringGt, stringLt, stringGte, stringLte</t>
  </si>
  <si>
    <t xml:space="preserve">Assert.assertTrue(ExpressionTestUtil.evaluate(ComparisonOp.EQ, new StringValue("Foo"), new StringValue("Foo")));</t>
  </si>
  <si>
    <t xml:space="preserve">35-2</t>
  </si>
  <si>
    <t xml:space="preserve">src/test/java/io/github/vmzakharov/ecdataframe/dsl/ObjectValueContainsOpTest.java</t>
  </si>
  <si>
    <t xml:space="preserve">stringVectorIn, stringVectorNotIn, stringIn, stringNotIn</t>
  </si>
  <si>
    <t xml:space="preserve">Assert.assertTrue(ExpressionTestUtil.evaluate(ContainsOp.IN, new StringValue("Foo"), this.vectorOfStrings("Foo", "Bar", null, "Baz")));</t>
  </si>
  <si>
    <t xml:space="preserve">35-3</t>
  </si>
  <si>
    <t xml:space="preserve">src/test/java/io/github/vmzakharov/ecdataframe/dsl/ValueCompareTest.java</t>
  </si>
  <si>
    <t xml:space="preserve">stringValueCompare, compareToNull</t>
  </si>
  <si>
    <t xml:space="preserve">StringValue abc = new StringValue("abc");</t>
  </si>
  <si>
    <t xml:space="preserve">35-4</t>
  </si>
  <si>
    <t xml:space="preserve">src/test/java/io/github/vmzakharov/ecdataframe/dsl/function/BuiltInFormatterTest.java</t>
  </si>
  <si>
    <t xml:space="preserve">numberFormats, attemptToFormatString</t>
  </si>
  <si>
    <t xml:space="preserve">context.setVariable("formatWithDecimal", new StringValue("#,##0.0##;(#,##0.0##)"));</t>
  </si>
  <si>
    <t xml:space="preserve">35-5</t>
  </si>
  <si>
    <t xml:space="preserve">src/test/java/io/github/vmzakharov/ecdataframe/TypeInferenceTest.java</t>
  </si>
  <si>
    <t xml:space="preserve">conditionalIncompatibleTypesWithContextVariables</t>
  </si>
  <si>
    <t xml:space="preserve">context.setVariable("y", new StringValue("abc"));</t>
  </si>
  <si>
    <t xml:space="preserve">35-6</t>
  </si>
  <si>
    <t xml:space="preserve">src/test/java/io/github/vmzakharov/ecdataframe/ExpressionWithNullValuesTest.java</t>
  </si>
  <si>
    <t xml:space="preserve">stringOps</t>
  </si>
  <si>
    <t xml:space="preserve">context.setVariable("a", new StringValue("abc"));</t>
  </si>
  <si>
    <t xml:space="preserve">35-7</t>
  </si>
  <si>
    <t xml:space="preserve">src/test/java/io/github/vmzakharov/ecdataframe/dsl/value/ValueTest.java</t>
  </si>
  <si>
    <t xml:space="preserve">StringValuesWrapNulls</t>
  </si>
  <si>
    <t xml:space="preserve">new StringValue(null);</t>
  </si>
  <si>
    <t xml:space="preserve">35-8</t>
  </si>
  <si>
    <t xml:space="preserve">src/test/java/io/github/vmzakharov/ecdataframe/HandcraftedExpressionTreeTest.java</t>
  </si>
  <si>
    <t xml:space="preserve">stringAddition</t>
  </si>
  <si>
    <t xml:space="preserve">new StringValue("Oompa"),</t>
  </si>
  <si>
    <t xml:space="preserve">37-1</t>
  </si>
  <si>
    <t xml:space="preserve">41-1</t>
  </si>
  <si>
    <t xml:space="preserve">43-1</t>
  </si>
  <si>
    <t xml:space="preserve">43-2</t>
  </si>
  <si>
    <t xml:space="preserve">src/test/java/org/xtx/ut4converter/t3d/T3DTestUtils.java</t>
  </si>
  <si>
    <t xml:space="preserve">43-3</t>
  </si>
  <si>
    <t xml:space="preserve">src/test/java/org/xtx/ut4converter/t3d/T3DUE3TerrainTest.java</t>
  </si>
  <si>
    <t xml:space="preserve">44-1</t>
  </si>
  <si>
    <t xml:space="preserve">testExcludeDictionary, testMaxLength</t>
  </si>
  <si>
    <t xml:space="preserve">List&lt;Dictionary&gt; dictionaryList = ConfigurationBuilder.getDefaultDictionaries();</t>
  </si>
  <si>
    <t xml:space="preserve">44-2</t>
  </si>
  <si>
    <t xml:space="preserve">src/test/java/me/gosimple/nbvcxz/matching/match/DateMatchTest.java</t>
  </si>
  <si>
    <t xml:space="preserve">testCalculateEntropy</t>
  </si>
  <si>
    <t xml:space="preserve">Configuration configuration = new ConfigurationBuilder().createConfiguration();</t>
  </si>
  <si>
    <t xml:space="preserve">44-3</t>
  </si>
  <si>
    <t xml:space="preserve">src/test/java/me/gosimple/nbvcxz/matching/match/DictionaryMatchTest.java</t>
  </si>
  <si>
    <t xml:space="preserve">44-4</t>
  </si>
  <si>
    <t xml:space="preserve">src/test/java/me/gosimple/nbvcxz/matching/match/RepeatMatchTest.java</t>
  </si>
  <si>
    <t xml:space="preserve">44-5</t>
  </si>
  <si>
    <t xml:space="preserve">src/test/java/me/gosimple/nbvcxz/matching/match/YearMatchTest.java</t>
  </si>
  <si>
    <t xml:space="preserve">double computed = new YearMatch(password, new ConfigurationBuilder().createConfiguration(), 0, password.length() - 1).calculateEntropy();</t>
  </si>
  <si>
    <t xml:space="preserve">44-6</t>
  </si>
  <si>
    <t xml:space="preserve">src/test/java/me/gosimple/nbvcxz/scoring/ScoreTest.java</t>
  </si>
  <si>
    <t xml:space="preserve">testBasicScore</t>
  </si>
  <si>
    <t xml:space="preserve">44-7</t>
  </si>
  <si>
    <t xml:space="preserve">src/test/java/me/gosimple/nbvcxz/scoring/TimeEstimateTest.java</t>
  </si>
  <si>
    <t xml:space="preserve">Configuration configuration = new ConfigurationBuilder().setGuessTypes(guessTypes).createConfiguration();</t>
  </si>
  <si>
    <t xml:space="preserve">44-8</t>
  </si>
  <si>
    <t xml:space="preserve">src/test/java/me/gosimple/nbvcxz/matching/match/BaseMatchTest.java</t>
  </si>
  <si>
    <t xml:space="preserve">44-9</t>
  </si>
  <si>
    <t xml:space="preserve">src/test/java/me/gosimple/nbvcxz/matching/DictionaryMatcherTest.java</t>
  </si>
  <si>
    <t xml:space="preserve">44-10</t>
  </si>
  <si>
    <t xml:space="preserve">src/test/java/me/gosimple/nbvcxz/matching/DateMatcherTest.java</t>
  </si>
  <si>
    <t xml:space="preserve">44-11</t>
  </si>
  <si>
    <t xml:space="preserve">src/test/java/me/gosimple/nbvcxz/matching/RepeatMatcherTest.java</t>
  </si>
  <si>
    <t xml:space="preserve">44-12</t>
  </si>
  <si>
    <t xml:space="preserve">src/test/java/me/gosimple/nbvcxz/matching/SequenceMatcherTest.java</t>
  </si>
  <si>
    <t xml:space="preserve">44-13</t>
  </si>
  <si>
    <t xml:space="preserve">src/test/java/me/gosimple/nbvcxz/matching/SpacialMatcherTest.java</t>
  </si>
  <si>
    <t xml:space="preserve">44-14</t>
  </si>
  <si>
    <t xml:space="preserve">src/test/java/me/gosimple/nbvcxz/matching/YearMatcherTest.java</t>
  </si>
  <si>
    <t xml:space="preserve">44-15</t>
  </si>
  <si>
    <t xml:space="preserve">src/test/java/me/gosimple/nbvcxz/matching/match/SequenceMatchTest.java</t>
  </si>
  <si>
    <t xml:space="preserve">44-16</t>
  </si>
  <si>
    <t xml:space="preserve">src/test/java/me/gosimple/nbvcxz/matching/match/SpacialMatchTest.java</t>
  </si>
  <si>
    <t xml:space="preserve">45-1</t>
  </si>
  <si>
    <t xml:space="preserve">45-2</t>
  </si>
  <si>
    <t xml:space="preserve">48-1</t>
  </si>
  <si>
    <t xml:space="preserve">encodeUrl, encodedUrlDoesntDoubleEncode</t>
  </si>
  <si>
    <t xml:space="preserve">URL url2 = new UrlBuilder(url1).build();</t>
  </si>
  <si>
    <t xml:space="preserve">49-1</t>
  </si>
  <si>
    <t xml:space="preserve">datanodesOutputCdataInXhtml</t>
  </si>
  <si>
    <t xml:space="preserve">assertEquals("1 &amp;&amp; 2", scriptDataNode.getWholeData());</t>
  </si>
  <si>
    <t xml:space="preserve">49-2</t>
  </si>
  <si>
    <t xml:space="preserve">handlesCdataInScript</t>
  </si>
  <si>
    <t xml:space="preserve">assertEquals(data, dataNode.getWholeData());</t>
  </si>
  <si>
    <t xml:space="preserve">49-3</t>
  </si>
  <si>
    <t xml:space="preserve">src/test/java/org/jsoup/select/ElementsTest.java</t>
  </si>
  <si>
    <t xml:space="preserve">dataNodes</t>
  </si>
  <si>
    <t xml:space="preserve">assertEquals("&lt;crux&gt;", dataNode.getWholeData());</t>
  </si>
  <si>
    <t xml:space="preserve">49-4</t>
  </si>
  <si>
    <t xml:space="preserve">src/test/java/org/jsoup/nodes/PositionTest.java</t>
  </si>
  <si>
    <t xml:space="preserve">tracksDataNodes</t>
  </si>
  <si>
    <t xml:space="preserve">assertEquals("2,9:15-4,8:33", data.sourceRange().toString());</t>
  </si>
  <si>
    <t xml:space="preserve">50-1</t>
  </si>
  <si>
    <t xml:space="preserve">51-1</t>
  </si>
  <si>
    <t xml:space="preserve">51-2</t>
  </si>
  <si>
    <t xml:space="preserve">src/test/java/org/jsoup/select/QueryParserTest.java</t>
  </si>
  <si>
    <t xml:space="preserve">52-1</t>
  </si>
  <si>
    <t xml:space="preserve">encodeUrl, encodeUrlSupplementary, encodedUrlDoesntDoubleEncode, urlPathIsPreservedDoesntDoubleEncode</t>
  </si>
  <si>
    <t xml:space="preserve">53-1</t>
  </si>
  <si>
    <t xml:space="preserve">canCreateEmptyConnection, throwsExceptionOnResponseWithoutExecute, throwsExceptionOnParseWithoutExecute, throwsExceptionOnBodyWithoutExecute, throwsExceptionOnBodyAsBytesWithoutExecute, headers</t>
  </si>
  <si>
    <t xml:space="preserve">assertEquals(Connection.Method.GET, con.request().method());</t>
  </si>
  <si>
    <t xml:space="preserve">53-2</t>
  </si>
  <si>
    <t xml:space="preserve">src/test/java/org/jsoup/integration/ConnectTest.java</t>
  </si>
  <si>
    <t xml:space="preserve">fetchURIWithWhitespace, throwsExceptionOn404, ignoresExceptionIfSoConfigured, doesGet, multiCookieSet, requestCookiesSurviveRedirect</t>
  </si>
  <si>
    <t xml:space="preserve">Document doc = con.get();</t>
  </si>
  <si>
    <t xml:space="preserve">53-3</t>
  </si>
  <si>
    <t xml:space="preserve">src/test/java/org/jsoup/integration/UrlConnectTest.java</t>
  </si>
  <si>
    <t xml:space="preserve">followsTempRedirect, followsNewTempRedirect, postRedirectsFetchWithGet, followsRedirectToHttps, followsRelativeRedirect, followsRelativeDotRedirect</t>
  </si>
  <si>
    <t xml:space="preserve">53-4</t>
  </si>
  <si>
    <t xml:space="preserve">src/test/java/org/jsoup/integration/SessionTest.java</t>
  </si>
  <si>
    <t xml:space="preserve">testPathScopedCookies, testPathScopedCookiesOnRedirect, testCanChangeParsers</t>
  </si>
  <si>
    <t xml:space="preserve">session.userAgent(userAgent);</t>
  </si>
  <si>
    <t xml:space="preserve">53-5</t>
  </si>
  <si>
    <t xml:space="preserve">src/test/java/org/jsoup/nodes/FormElementTest.java</t>
  </si>
  <si>
    <t xml:space="preserve">createsSubmitableConnection, actionWithNoValue</t>
  </si>
  <si>
    <t xml:space="preserve">53-6</t>
  </si>
  <si>
    <t xml:space="preserve">src/test/java/org/jsoup/integration/SessionIT.java</t>
  </si>
  <si>
    <t xml:space="preserve">multiThread, multiThreadWithoutNewRequestBlowsUp</t>
  </si>
  <si>
    <t xml:space="preserve">Document doc = session.newRequest().url(urls[i]).get();</t>
  </si>
  <si>
    <t xml:space="preserve">53-7</t>
  </si>
  <si>
    <t xml:space="preserve">src/test/java/org/jsoup/integration/ConnectIT.java</t>
  </si>
  <si>
    <t xml:space="preserve">53-8</t>
  </si>
  <si>
    <t xml:space="preserve">src/test/java/org/jsoup/nodes/BuildEntities.java</t>
  </si>
  <si>
    <t xml:space="preserve">54-1</t>
  </si>
  <si>
    <t xml:space="preserve">54-2</t>
  </si>
  <si>
    <t xml:space="preserve">src/test/java/org/jsoup/parser/TokenQueueTest.java</t>
  </si>
  <si>
    <t xml:space="preserve">55-1</t>
  </si>
  <si>
    <t xml:space="preserve">55-2</t>
  </si>
  <si>
    <t xml:space="preserve">src/test/java/it/mulders/mcs/search/printer/CoordinatePrinterTest.java</t>
  </si>
  <si>
    <t xml:space="preserve">56-1</t>
  </si>
  <si>
    <t xml:space="preserve">56-2</t>
  </si>
  <si>
    <t xml:space="preserve">57-1</t>
  </si>
  <si>
    <t xml:space="preserve">57-2</t>
  </si>
  <si>
    <t xml:space="preserve">58-1</t>
  </si>
  <si>
    <t xml:space="preserve">58-2</t>
  </si>
  <si>
    <t xml:space="preserve">59-1</t>
  </si>
  <si>
    <t xml:space="preserve">59-2</t>
  </si>
  <si>
    <t xml:space="preserve">60-1</t>
  </si>
  <si>
    <t xml:space="preserve">60-2</t>
  </si>
  <si>
    <t xml:space="preserve">61-1</t>
  </si>
  <si>
    <t xml:space="preserve">61-2</t>
  </si>
  <si>
    <t xml:space="preserve">62-1</t>
  </si>
  <si>
    <t xml:space="preserve">62-2</t>
  </si>
  <si>
    <t xml:space="preserve">63-1</t>
  </si>
  <si>
    <t xml:space="preserve">63-2</t>
  </si>
  <si>
    <t xml:space="preserve">74-1</t>
  </si>
  <si>
    <t xml:space="preserve">testComputedAttributes</t>
  </si>
  <si>
    <t xml:space="preserve">ComputedAttributesHandler handler = new ComputedAttributesHandler(new Config(), null);</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</si>
</sst>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bgColor rgb="FFE2EFDA"/>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github.com/Bindambc/whatsapp-business-java-api/blob/362caf5eb33c0f23bbb29ba689112dee3750b30c/src/main/java/com/whatsapp/api/domain/messages/Language.java" TargetMode="External"/><Relationship Id="rId2" Type="http://schemas.openxmlformats.org/officeDocument/2006/relationships/hyperlink" Target="https://github.com/Bindambc/whatsapp-business-java-api/blob/fd321cb6343781a129c19b23df293f1b858b64cc/src/main/java/com/whatsapp/api/domain/templates/QuickReplyButton.java" TargetMode="External"/><Relationship Id="rId3" Type="http://schemas.openxmlformats.org/officeDocument/2006/relationships/hyperlink" Target="https://github.com/Bindambc/whatsapp-business-java-api/blob/fd321cb6343781a129c19b23df293f1b858b64cc/src/main/java/com/whatsapp/api/domain/templates/UrlButton.java" TargetMode="External"/><Relationship Id="rId4" Type="http://schemas.openxmlformats.org/officeDocument/2006/relationships/hyperlink" Target="https://github.com/BrightSpots/rcv/blob/688920f277061ec880f3ed343a6d690dc98dd6de/src/main/java/network/brightspots/rcv/Logger.java" TargetMode="External"/><Relationship Id="rId5" Type="http://schemas.openxmlformats.org/officeDocument/2006/relationships/hyperlink" Target="https://github.com/BrightSpots/rcv/blob/688920f277061ec880f3ed343a6d690dc98dd6de/src/main/java/network/brightspots/rcv/ResultsWriter.java" TargetMode="External"/><Relationship Id="rId6" Type="http://schemas.openxmlformats.org/officeDocument/2006/relationships/hyperlink" Target="https://github.com/BrightSpots/rcv/blob/c80e6272c83a67999bce67e3a5c9b5a9120fe2c2/src/main/java/network/brightspots/rcv/ResultsWriter.java" TargetMode="External"/><Relationship Id="rId7" Type="http://schemas.openxmlformats.org/officeDocument/2006/relationships/hyperlink" Target="https://github.com/IBM/JSONata4Java/blob/1485a41ccf50f6f35a3a260a13df184990a347bb/src/main/java/com/api/jsonata4java/expressions/OrderByOperator.java" TargetMode="External"/><Relationship Id="rId8" Type="http://schemas.openxmlformats.org/officeDocument/2006/relationships/hyperlink" Target="https://github.com/Moderocky/ByteSkript/blob/1dce2997df7f55536293234a04b666de3d6b2a85/src/main/java/org/byteskript/skript/compiler/DebugSkriptCompiler.java" TargetMode="External"/><Relationship Id="rId9" Type="http://schemas.openxmlformats.org/officeDocument/2006/relationships/hyperlink" Target="https://github.com/Netflix/frigga/blob/126b52a5586381684c0ac975ac3d2ab37b6f7596/src/main/java/com/netflix/frigga/ami/AppVersion.java" TargetMode="External"/><Relationship Id="rId10" Type="http://schemas.openxmlformats.org/officeDocument/2006/relationships/hyperlink" Target="https://github.com/YehiaFarghaly/database-engine/blob/8314bfdec0aa431561d903d788ecdf31fd3c6c5c/src/main/java/util/validation/Validator.java" TargetMode="External"/><Relationship Id="rId11" Type="http://schemas.openxmlformats.org/officeDocument/2006/relationships/hyperlink" Target="https://github.com/YehiaFarghaly/database-engine/blob/c5f961f27373a552d506ba0380d3898188971523/src/main/java/util/validation/Validator.java" TargetMode="External"/><Relationship Id="rId12" Type="http://schemas.openxmlformats.org/officeDocument/2006/relationships/hyperlink" Target="https://github.com/assertj/assertj-vavr/blob/f4d7f276e87c5612bd743d0fd21f947d059170f8/src/main/java/org/assertj/vavr/api/AbstractSeqAssert.java" TargetMode="External"/><Relationship Id="rId13" Type="http://schemas.openxmlformats.org/officeDocument/2006/relationships/hyperlink" Target="https://github.com/beanshell/beanshell/blob/7a60a06bb56774d1f6b1188ee66e712073b90a81/src/main/java/bsh/This.java" TargetMode="External"/><Relationship Id="rId14" Type="http://schemas.openxmlformats.org/officeDocument/2006/relationships/hyperlink" Target="https://github.com/beanshell/beanshell/blob/f345606a29bd6a9485dfcf395f40191af5c5c9ef/src/main/java/bsh/Operators.java" TargetMode="External"/><Relationship Id="rId15" Type="http://schemas.openxmlformats.org/officeDocument/2006/relationships/hyperlink" Target="https://github.com/bhlangonijr/chesslib/blob/cf68677eac6d6a84c8ef286aadbddf11d3155e4c/src/main/java/com/github/bhlangonijr/chesslib/pgn/GameLoader.java" TargetMode="External"/><Relationship Id="rId16" Type="http://schemas.openxmlformats.org/officeDocument/2006/relationships/hyperlink" Target="https://github.com/cdimascio/dotenv-java/blob/bbfbcfa63e3ab0bb76fbacb51833daec9f6c4fa9/src/main/java/io/github/cdimascio/dotenv/internal/DotenvParser.java" TargetMode="External"/><Relationship Id="rId17" Type="http://schemas.openxmlformats.org/officeDocument/2006/relationships/hyperlink" Target="https://github.com/cloudsimplus/cloudsimplus/blob/61c8b942d1ec07ff6e7369326450d22086a2678e/src/main/java/org/cloudsimplus/hosts/HostAbstract.java" TargetMode="External"/><Relationship Id="rId18" Type="http://schemas.openxmlformats.org/officeDocument/2006/relationships/hyperlink" Target="https://github.com/crowdin/crowdin-api-client-java/blob/f0f22b2b56d76d631224688193feed6eb501af30/src/main/java/com/crowdin/client/core/http/impl/json/JacksonJsonTransformer.java" TargetMode="External"/><Relationship Id="rId19" Type="http://schemas.openxmlformats.org/officeDocument/2006/relationships/hyperlink" Target="https://github.com/ezylang/EvalEx/blob/7c39c5478a3934ae862aa5d86718d7414ecb3a3c/src/main/java/com/ezylang/evalex/parser/Tokenizer.java" TargetMode="External"/><Relationship Id="rId20" Type="http://schemas.openxmlformats.org/officeDocument/2006/relationships/hyperlink" Target="https://github.com/giraud/reasonml-idea-plugin/blob/11d991db162a2d61de7c1b24a45246d09d6b2e86/src/main/java/com/reason/ide/structure/StructureViewElement.java" TargetMode="External"/><Relationship Id="rId21" Type="http://schemas.openxmlformats.org/officeDocument/2006/relationships/hyperlink" Target="https://github.com/giraud/reasonml-idea-plugin/blob/11d991db162a2d61de7c1b24a45246d09d6b2e86/src/main/java/com/reason/lang/core/psi/impl/RPsiModuleSignature.java" TargetMode="External"/><Relationship Id="rId22" Type="http://schemas.openxmlformats.org/officeDocument/2006/relationships/hyperlink" Target="https://github.com/giraud/reasonml-idea-plugin/blob/11d991db162a2d61de7c1b24a45246d09d6b2e86/src/main/java/com/reason/lang/ocaml/OclParser.java" TargetMode="External"/><Relationship Id="rId23" Type="http://schemas.openxmlformats.org/officeDocument/2006/relationships/hyperlink" Target="https://github.com/giraud/reasonml-idea-plugin/blob/69749af01bcfcd7cfaff33837f2776b7d37d906a/src/main/java/com/reason/lang/ocaml/OclParser.java" TargetMode="External"/><Relationship Id="rId24" Type="http://schemas.openxmlformats.org/officeDocument/2006/relationships/hyperlink" Target="https://github.com/giraud/reasonml-idea-plugin/blob/f665f0fc21e68d9b18df66ccfed299e898d8ee93/src/main/java/com/reason/lang/rescript/ResParser.java" TargetMode="External"/><Relationship Id="rId25" Type="http://schemas.openxmlformats.org/officeDocument/2006/relationships/hyperlink" Target="https://github.com/gitbucket/markedj/blob/2dce74e1208340c7738970613f435185d71f640e/src/main/java/io/github/gitbucket/markedj/Grammer.java" TargetMode="External"/><Relationship Id="rId26" Type="http://schemas.openxmlformats.org/officeDocument/2006/relationships/hyperlink" Target="https://github.com/jitterted/ensembler/blob/14a39138787f8aa597c84f734844dd270f8c35a6/src/main/java/com/jitterted/mobreg/domain/Ensemble.java" TargetMode="External"/><Relationship Id="rId27" Type="http://schemas.openxmlformats.org/officeDocument/2006/relationships/hyperlink" Target="https://github.com/jitterted/ensembler/blob/60ec3bf0273b63c210e1b7b6802c4f5f3c33710d/src/main/java/com/jitterted/mobreg/domain/Ensemble.java" TargetMode="External"/><Relationship Id="rId28" Type="http://schemas.openxmlformats.org/officeDocument/2006/relationships/hyperlink" Target="https://github.com/jitterted/ensembler/blob/6207c9d46460fd0ce2d67305ea250c50672bce80/src/main/java/com/jitterted/mobreg/domain/Ensemble.java" TargetMode="External"/><Relationship Id="rId29" Type="http://schemas.openxmlformats.org/officeDocument/2006/relationships/hyperlink" Target="https://github.com/semver4j/semver4j/blob/beb7e5d466c708721740f6fe99ca33ca9f4ed9ea/src/main/java/org/semver4j/internal/range/processor/XRangeProcessor.java" TargetMode="External"/><Relationship Id="rId30" Type="http://schemas.openxmlformats.org/officeDocument/2006/relationships/hyperlink" Target="https://github.com/slub/urnlib/blob/106be8d1b8047f93a715edc03fdc1b17c3aacc4b/src/main/java/de/slub/urn/RQF_RFC8141.java" TargetMode="External"/><Relationship Id="rId31" Type="http://schemas.openxmlformats.org/officeDocument/2006/relationships/hyperlink" Target="https://github.com/snowflakedb/snowflake-jdbc/blob/002bc9bb528a71b0233742240d02ce4677fb75d6/src/main/java/net/snowflake/client/jdbc/SnowflakeConnectString.java" TargetMode="External"/><Relationship Id="rId32" Type="http://schemas.openxmlformats.org/officeDocument/2006/relationships/hyperlink" Target="https://github.com/snowflakedb/snowflake-jdbc/blob/15a45aca6bcd42e354ee6cb6ccd822b75647351d/src/main/java/net/snowflake/client/jdbc/SnowflakeFileTransferAgent.java" TargetMode="External"/><Relationship Id="rId33" Type="http://schemas.openxmlformats.org/officeDocument/2006/relationships/hyperlink" Target="https://github.com/spring-projects/spring-guice/blob/ce15b8e5802ad435ab296693ac84dd41d64106f1/src/main/java/org/springframework/guice/module/SpringModule.java" TargetMode="External"/><Relationship Id="rId34" Type="http://schemas.openxmlformats.org/officeDocument/2006/relationships/hyperlink" Target="https://github.com/st-tu-dresden/salespoint/blob/85a764f892aaca4cfcb6749e55f3131a23cc8f66/src/main/java/org/salespointframework/accountancy/PersistentAccountancy.java" TargetMode="External"/><Relationship Id="rId35" Type="http://schemas.openxmlformats.org/officeDocument/2006/relationships/hyperlink" Target="https://github.com/vmzakharov/dataframe-ec/blob/12af99192d241ff9e4dcf78e92cef31117b7d05a/src/main/java/io/github/vmzakharov/ecdataframe/dsl/value/StringValue.java" TargetMode="External"/><Relationship Id="rId36" Type="http://schemas.openxmlformats.org/officeDocument/2006/relationships/hyperlink" Target="https://github.com/vmzakharov/dataframe-ec/blob/e9eb4dbe0e703e13f8597be61fde10e604de127d/src/main/java/io/github/vmzakharov/ecdataframe/dataframe/compare/ComparisonResult.java" TargetMode="External"/><Relationship Id="rId37" Type="http://schemas.openxmlformats.org/officeDocument/2006/relationships/hyperlink" Target="https://github.com/w3c/epubcheck/blob/0759a82ae40706269aa3c88e9a175bf8ce7a2f54/src/main/java/com/adobe/epubcheck/opf/OPFChecker30.java" TargetMode="External"/><Relationship Id="rId38" Type="http://schemas.openxmlformats.org/officeDocument/2006/relationships/hyperlink" Target="https://github.com/w3c/epubcheck/blob/0759a82ae40706269aa3c88e9a175bf8ce7a2f54/src/main/java/com/adobe/epubcheck/ops/OPSHandler30.java" TargetMode="External"/><Relationship Id="rId39" Type="http://schemas.openxmlformats.org/officeDocument/2006/relationships/hyperlink" Target="https://github.com/w3c/epubcheck/blob/49aacb238c3edddedb45abba813bbf7c9efa54de/src/main/java/com/adobe/epubcheck/tool/EpubChecker.java" TargetMode="External"/><Relationship Id="rId40" Type="http://schemas.openxmlformats.org/officeDocument/2006/relationships/hyperlink" Target="https://github.com/w3c/epubcheck/blob/7804c78a53f25d98de9457e12d2bdbd4b40e682b/src/main/java/org/w3c/epubcheck/core/references/ResourceReferencesChecker.java" TargetMode="External"/><Relationship Id="rId41" Type="http://schemas.openxmlformats.org/officeDocument/2006/relationships/hyperlink" Target="https://github.com/wmixvideo/nfe/blob/67518e14db7e1c5b910cadb3bd902e99b79bec4c/src/main/java/com/fincatto/documentofiscal/mdfe3/classes/nota/MDFInfoModalRodoviarioVeiculoReboque.java" TargetMode="External"/><Relationship Id="rId42" Type="http://schemas.openxmlformats.org/officeDocument/2006/relationships/hyperlink" Target="https://github.com/xtremexp/UT4X-Converter/blob/e16bad18b562c554a0db5bfab6496553d9ba8349/src/main/java/org/xtx/ut4converter/t3d/T3DSimpleProperty.java" TargetMode="External"/><Relationship Id="rId43" Type="http://schemas.openxmlformats.org/officeDocument/2006/relationships/hyperlink" Target="https://github.com/xtremexp/UT4X-Converter/blob/e719841eb2603a1db7d33d2e922fcb42a13e608f/src/main/java/org/xtx/ut4converter/t3d/T3DActor.java" TargetMode="External"/><Relationship Id="rId44" Type="http://schemas.openxmlformats.org/officeDocument/2006/relationships/hyperlink" Target="https://github.com/GoSimpleLLC/nbvcxz/blob/ee8d5c62f4fbba1b975a1e8675abb5dff3ef4cb6/src/main/java/me/gosimple/nbvcxz/resources/ConfigurationBuilder.java" TargetMode="External"/><Relationship Id="rId45" Type="http://schemas.openxmlformats.org/officeDocument/2006/relationships/hyperlink" Target="https://github.com/GoSimpleLLC/nbvcxz/blob/ee8d5c62f4fbba1b975a1e8675abb5dff3ef4cb6/src/main/java/me/gosimple/nbvcxz/resources/Dictionary.java" TargetMode="External"/><Relationship Id="rId46" Type="http://schemas.openxmlformats.org/officeDocument/2006/relationships/hyperlink" Target="https://github.com/adoble/adr-j/blob/7fe616c55a5b9d8c17f0e69a5aaf8daca9d78abd/src/main/java/org/doble/commands/CommandADR.java" TargetMode="External"/><Relationship Id="rId47" Type="http://schemas.openxmlformats.org/officeDocument/2006/relationships/hyperlink" Target="https://github.com/adoble/adr-j/blob/7fe616c55a5b9d8c17f0e69a5aaf8daca9d78abd/src/main/java/org/doble/commands/CommandVersion.java" TargetMode="External"/><Relationship Id="rId48" Type="http://schemas.openxmlformats.org/officeDocument/2006/relationships/hyperlink" Target="https://github.com/jhy/jsoup/blob/0121311b1bd56cbbd29e9b291d42564d5135afa5/src/main/java/org/jsoup/helper/UrlBuilder.java" TargetMode="External"/><Relationship Id="rId49" Type="http://schemas.openxmlformats.org/officeDocument/2006/relationships/hyperlink" Target="https://github.com/jhy/jsoup/blob/1657e8fd65889cd4a60052ed31f9cb245c02dfad/src/main/java/org/jsoup/nodes/DataNode.java" TargetMode="External"/><Relationship Id="rId50" Type="http://schemas.openxmlformats.org/officeDocument/2006/relationships/hyperlink" Target="https://github.com/jhy/jsoup/blob/1e69577e358c75a85b769583f0cf860eedb18a5e/src/main/java/org/jsoup/helper/UrlBuilder.java" TargetMode="External"/><Relationship Id="rId51" Type="http://schemas.openxmlformats.org/officeDocument/2006/relationships/hyperlink" Target="https://github.com/jhy/jsoup/blob/2a4a9cf83dea46aff9fc97fc6da808948f5086e0/src/main/java/org/jsoup/select/StructuralEvaluator.java" TargetMode="External"/><Relationship Id="rId52" Type="http://schemas.openxmlformats.org/officeDocument/2006/relationships/hyperlink" Target="https://github.com/jhy/jsoup/blob/6ccd158754e21a749b2390ca27282a8dda7fb4f6/src/main/java/org/jsoup/helper/UrlBuilder.java" TargetMode="External"/><Relationship Id="rId53" Type="http://schemas.openxmlformats.org/officeDocument/2006/relationships/hyperlink" Target="https://github.com/jhy/jsoup/blob/9de27fa7cd823f6d26e33e48b36ef010c05f977c/src/main/java/org/jsoup/Connection.java" TargetMode="External"/><Relationship Id="rId54" Type="http://schemas.openxmlformats.org/officeDocument/2006/relationships/hyperlink" Target="https://github.com/jhy/jsoup/blob/c93ea51dabfbfd34d6b979f5cc876ed3b5d093a4/src/main/java/org/jsoup/parser/Token.java" TargetMode="External"/><Relationship Id="rId55" Type="http://schemas.openxmlformats.org/officeDocument/2006/relationships/hyperlink" Target="https://github.com/mthmulders/mcs/blob/7c8b5bc9c7f26865d6785e06051e73317c06af2c/src/main/java/it/mulders/mcs/search/printer/BuildrOutput.java" TargetMode="External"/><Relationship Id="rId56" Type="http://schemas.openxmlformats.org/officeDocument/2006/relationships/hyperlink" Target="https://github.com/mthmulders/mcs/blob/7c8b5bc9c7f26865d6785e06051e73317c06af2c/src/main/java/it/mulders/mcs/search/printer/GradleGroovyOutput.java" TargetMode="External"/><Relationship Id="rId57" Type="http://schemas.openxmlformats.org/officeDocument/2006/relationships/hyperlink" Target="https://github.com/mthmulders/mcs/blob/7c8b5bc9c7f26865d6785e06051e73317c06af2c/src/main/java/it/mulders/mcs/search/printer/GradleGroovyShortOutput.java" TargetMode="External"/><Relationship Id="rId58" Type="http://schemas.openxmlformats.org/officeDocument/2006/relationships/hyperlink" Target="https://github.com/mthmulders/mcs/blob/7c8b5bc9c7f26865d6785e06051e73317c06af2c/src/main/java/it/mulders/mcs/search/printer/GradleKotlinOutput.java" TargetMode="External"/><Relationship Id="rId59" Type="http://schemas.openxmlformats.org/officeDocument/2006/relationships/hyperlink" Target="https://github.com/mthmulders/mcs/blob/7c8b5bc9c7f26865d6785e06051e73317c06af2c/src/main/java/it/mulders/mcs/search/printer/GrapeOutput.java" TargetMode="External"/><Relationship Id="rId60" Type="http://schemas.openxmlformats.org/officeDocument/2006/relationships/hyperlink" Target="https://github.com/mthmulders/mcs/blob/7c8b5bc9c7f26865d6785e06051e73317c06af2c/src/main/java/it/mulders/mcs/search/printer/IvyXmlOutput.java" TargetMode="External"/><Relationship Id="rId61" Type="http://schemas.openxmlformats.org/officeDocument/2006/relationships/hyperlink" Target="https://github.com/mthmulders/mcs/blob/7c8b5bc9c7f26865d6785e06051e73317c06af2c/src/main/java/it/mulders/mcs/search/printer/LeiningenOutput.java" TargetMode="External"/><Relationship Id="rId62" Type="http://schemas.openxmlformats.org/officeDocument/2006/relationships/hyperlink" Target="https://github.com/mthmulders/mcs/blob/7c8b5bc9c7f26865d6785e06051e73317c06af2c/src/main/java/it/mulders/mcs/search/printer/PomXmlOutput.java" TargetMode="External"/><Relationship Id="rId63" Type="http://schemas.openxmlformats.org/officeDocument/2006/relationships/hyperlink" Target="https://github.com/mthmulders/mcs/blob/7c8b5bc9c7f26865d6785e06051e73317c06af2c/src/main/java/it/mulders/mcs/search/printer/SbtOutput.java" TargetMode="External"/><Relationship Id="rId64" Type="http://schemas.openxmlformats.org/officeDocument/2006/relationships/hyperlink" Target="https://github.com/traccar/traccar/blob/1c91d35263f1d00c00db44f7b2ff373aacb28478/src/main/java/org/traccar/helper/StringUtil.java" TargetMode="External"/><Relationship Id="rId65" Type="http://schemas.openxmlformats.org/officeDocument/2006/relationships/hyperlink" Target="https://github.com/traccar/traccar/blob/8ae0436e5edb76243e59ee6e9b2c1a6132fd9464/src/main/java/org/traccar/helper/Parser.java" TargetMode="External"/><Relationship Id="rId66" Type="http://schemas.openxmlformats.org/officeDocument/2006/relationships/hyperlink" Target="https://github.com/traccar/traccar/blob/adbe25e9daa125e989c853068bc600c61234c342/src/main/java/org/traccar/api/MediaFilter.java" TargetMode="External"/><Relationship Id="rId67" Type="http://schemas.openxmlformats.org/officeDocument/2006/relationships/hyperlink" Target="https://github.com/traccar/traccar/blob/adbe25e9daa125e989c853068bc600c61234c342/src/main/java/org/traccar/model/ExtendedModel.java" TargetMode="External"/><Relationship Id="rId68" Type="http://schemas.openxmlformats.org/officeDocument/2006/relationships/hyperlink" Target="https://github.com/traccar/traccar/blob/adbe25e9daa125e989c853068bc600c61234c342/src/main/java/org/traccar/web/CharResponseWrapper.java" TargetMode="External"/><Relationship Id="rId69" Type="http://schemas.openxmlformats.org/officeDocument/2006/relationships/hyperlink" Target="https://github.com/traccar/traccar/blob/adbe25e9daa125e989c853068bc600c61234c342/src/main/java/org/traccar/web/ModernDefaultServlet.java" TargetMode="External"/><Relationship Id="rId70" Type="http://schemas.openxmlformats.org/officeDocument/2006/relationships/hyperlink" Target="https://github.com/traccar/traccar/blob/adbe25e9daa125e989c853068bc600c61234c342/src/main/java/org/traccar/web/OverrideFilter.java" TargetMode="External"/><Relationship Id="rId71" Type="http://schemas.openxmlformats.org/officeDocument/2006/relationships/hyperlink" Target="https://github.com/traccar/traccar/blob/adbe25e9daa125e989c853068bc600c61234c342/src/main/java/org/traccar/web/WebModule.java" TargetMode="External"/><Relationship Id="rId72" Type="http://schemas.openxmlformats.org/officeDocument/2006/relationships/hyperlink" Target="https://github.com/traccar/traccar/blob/b4934e05aab6c875cd1c2d412102e041a79b9210/src/main/java/org/traccar/api/resource/CommandResource.java" TargetMode="External"/><Relationship Id="rId73" Type="http://schemas.openxmlformats.org/officeDocument/2006/relationships/hyperlink" Target="https://github.com/traccar/traccar/blob/b4934e05aab6c875cd1c2d412102e041a79b9210/src/main/java/org/traccar/api/resource/ReportResource.java" TargetMode="External"/><Relationship Id="rId74" Type="http://schemas.openxmlformats.org/officeDocument/2006/relationships/hyperlink" Target="https://github.com/traccar/traccar/blob/b4934e05aab6c875cd1c2d412102e041a79b9210/src/main/java/org/traccar/handler/ComputedAttributesHandler.java" TargetMode="External"/><Relationship Id="rId75" Type="http://schemas.openxmlformats.org/officeDocument/2006/relationships/hyperlink" Target="https://github.com/traccar/traccar/blob/b4934e05aab6c875cd1c2d412102e041a79b9210/src/main/java/org/traccar/helper/ClassScanner.java" TargetMode="External"/><Relationship Id="rId76" Type="http://schemas.openxmlformats.org/officeDocument/2006/relationships/hyperlink" Target="https://github.com/traccar/traccar/blob/b4934e05aab6c875cd1c2d412102e041a79b9210/src/main/java/org/traccar/helper/StringUtil.java" TargetMode="External"/><Relationship Id="rId77" Type="http://schemas.openxmlformats.org/officeDocument/2006/relationships/hyperlink" Target="https://github.com/traccar/traccar/blob/b4934e05aab6c875cd1c2d412102e041a79b9210/src/main/java/org/traccar/model/Report.java" TargetMode="External"/><Relationship Id="rId78" Type="http://schemas.openxmlformats.org/officeDocument/2006/relationships/hyperlink" Target="https://github.com/traccar/traccar/blob/b4934e05aab6c875cd1c2d412102e041a79b9210/src/main/java/org/traccar/reports/common/ReportExecutor.java" TargetMode="External"/><Relationship Id="rId79" Type="http://schemas.openxmlformats.org/officeDocument/2006/relationships/hyperlink" Target="https://github.com/traccar/traccar/blob/b4934e05aab6c875cd1c2d412102e041a79b9210/src/main/java/org/traccar/reports/common/ReportMailer.java" TargetMode="External"/><Relationship Id="rId80" Type="http://schemas.openxmlformats.org/officeDocument/2006/relationships/hyperlink" Target="https://github.com/traccar/traccar/blob/b4934e05aab6c875cd1c2d412102e041a79b9210/src/main/java/org/traccar/schedule/ScheduleManager.java" TargetMode="External"/><Relationship Id="rId81" Type="http://schemas.openxmlformats.org/officeDocument/2006/relationships/hyperlink" Target="https://github.com/traccar/traccar/blob/b4934e05aab6c875cd1c2d412102e041a79b9210/src/main/java/org/traccar/schedule/TaskReports.java" TargetMode="External"/><Relationship Id="rId82" Type="http://schemas.openxmlformats.org/officeDocument/2006/relationships/hyperlink" Target="https://github.com/traccar/traccar/blob/c68e92043cb52f859de724781f2e5774c60d465b/src/main/java/org/traccar/protocol/HuaShengProtocol.java" TargetMode="External"/><Relationship Id="rId83" Type="http://schemas.openxmlformats.org/officeDocument/2006/relationships/hyperlink" Target="https://github.com/traccar/traccar/blob/d244b4bc4999ba3e3dca607bf797c3f7d7f578ff/src/main/java/org/traccar/model/ExtendedModel.java" TargetMode="External"/><Relationship Id="rId8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github.com/Bindambc/whatsapp-business-java-api/blob/362caf5eb33c0f23bbb29ba689112dee3750b30c/src/test/java/com/whatsapp/api/impl/WhatsappBusinessCloudApiTest.java" TargetMode="External"/><Relationship Id="rId2" Type="http://schemas.openxmlformats.org/officeDocument/2006/relationships/hyperlink" Target="https://github.com/Bindambc/whatsapp-business-java-api/blob/362caf5eb33c0f23bbb29ba689112dee3750b30c/src/test/java/com/whatsapp/api/examples/SendTemplateButtonMessageExample.java" TargetMode="External"/><Relationship Id="rId3" Type="http://schemas.openxmlformats.org/officeDocument/2006/relationships/hyperlink" Target="https://github.com/Bindambc/whatsapp-business-java-api/blob/362caf5eb33c0f23bbb29ba689112dee3750b30c/src/test/java/com/whatsapp/api/examples/SendTemplateTextMessageExample.java" TargetMode="External"/><Relationship Id="rId4" Type="http://schemas.openxmlformats.org/officeDocument/2006/relationships/hyperlink" Target="https://github.com/Bindambc/whatsapp-business-java-api/blob/fd321cb6343781a129c19b23df293f1b858b64cc/src/test/java/com/whatsapp/api/impl/WhatsappBusinessManagementApiTest.java" TargetMode="External"/><Relationship Id="rId5" Type="http://schemas.openxmlformats.org/officeDocument/2006/relationships/hyperlink" Target="https://github.com/Bindambc/whatsapp-business-java-api/blob/fd321cb6343781a129c19b23df293f1b858b64cc/src/test/java/com/whatsapp/api/examples/CreateMessageTemplate3Example.java" TargetMode="External"/><Relationship Id="rId6" Type="http://schemas.openxmlformats.org/officeDocument/2006/relationships/hyperlink" Target="https://github.com/Bindambc/whatsapp-business-java-api/blob/fd321cb6343781a129c19b23df293f1b858b64cc/src/test/java/com/whatsapp/api/examples/CreateMessageTemplate4Example.java" TargetMode="External"/><Relationship Id="rId7" Type="http://schemas.openxmlformats.org/officeDocument/2006/relationships/hyperlink" Target="https://github.com/Bindambc/whatsapp-business-java-api/blob/fd321cb6343781a129c19b23df293f1b858b64cc/src/test/java/com/whatsapp/api/examples/CreateMessageTemplate6Example.java" TargetMode="External"/><Relationship Id="rId8" Type="http://schemas.openxmlformats.org/officeDocument/2006/relationships/hyperlink" Target="https://github.com/Bindambc/whatsapp-business-java-api/blob/fd321cb6343781a129c19b23df293f1b858b64cc/src/test/java/com/whatsapp/api/impl/WhatsappBusinessManagementApiTest.java" TargetMode="External"/><Relationship Id="rId9" Type="http://schemas.openxmlformats.org/officeDocument/2006/relationships/hyperlink" Target="https://github.com/Bindambc/whatsapp-business-java-api/blob/fd321cb6343781a129c19b23df293f1b858b64cc/src/test/java/com/whatsapp/api/examples/CreateMessageTemplate5Example.java" TargetMode="External"/><Relationship Id="rId10" Type="http://schemas.openxmlformats.org/officeDocument/2006/relationships/hyperlink" Target="https://github.com/BrightSpots/rcv/blob/688920f277061ec880f3ed343a6d690dc98dd6de/src/test/java/network/brightspots/rcv/TabulatorTests.java" TargetMode="External"/><Relationship Id="rId11" Type="http://schemas.openxmlformats.org/officeDocument/2006/relationships/hyperlink" Target="https://github.com/BrightSpots/rcv/blob/688920f277061ec880f3ed343a6d690dc98dd6de/src/test/java/network/brightspots/rcv/TabulatorTests.java" TargetMode="External"/><Relationship Id="rId12" Type="http://schemas.openxmlformats.org/officeDocument/2006/relationships/hyperlink" Target="https://github.com/BrightSpots/rcv/blob/c80e6272c83a67999bce67e3a5c9b5a9120fe2c2/src/test/java/network/brightspots/rcv/TabulatorTests.java" TargetMode="External"/><Relationship Id="rId13" Type="http://schemas.openxmlformats.org/officeDocument/2006/relationships/hyperlink" Target="https://github.com/Moderocky/ByteSkript/blob/1dce2997df7f55536293234a04b666de3d6b2a85/src/test/java/org/byteskript/skript/test/SyntaxTreeTest.java" TargetMode="External"/><Relationship Id="rId14" Type="http://schemas.openxmlformats.org/officeDocument/2006/relationships/hyperlink" Target="https://github.com/Netflix/frigga/blob/126b52a5586381684c0ac975ac3d2ab37b6f7596/src/test/groovy/com/netflix/frigga/ami/AppVersionTest.groovy" TargetMode="External"/><Relationship Id="rId15" Type="http://schemas.openxmlformats.org/officeDocument/2006/relationships/hyperlink" Target="https://github.com/beanshell/beanshell/blob/7a60a06bb56774d1f6b1188ee66e712073b90a81/src/test/java/bsh/InterpreterConcurrencyTest.java" TargetMode="External"/><Relationship Id="rId16" Type="http://schemas.openxmlformats.org/officeDocument/2006/relationships/hyperlink" Target="https://github.com/beanshell/beanshell/blob/7a60a06bb56774d1f6b1188ee66e712073b90a81/src/test/java/bsh/TestBshScriptEngine.java" TargetMode="External"/><Relationship Id="rId17" Type="http://schemas.openxmlformats.org/officeDocument/2006/relationships/hyperlink" Target="https://github.com/beanshell/beanshell/blob/7a60a06bb56774d1f6b1188ee66e712073b90a81/src/test/java/bsh/ReflectTest.java" TargetMode="External"/><Relationship Id="rId18" Type="http://schemas.openxmlformats.org/officeDocument/2006/relationships/hyperlink" Target="https://github.com/beanshell/beanshell/blob/7a60a06bb56774d1f6b1188ee66e712073b90a81/src/test/java/bsh/PreparsedScriptTest.java" TargetMode="External"/><Relationship Id="rId19" Type="http://schemas.openxmlformats.org/officeDocument/2006/relationships/hyperlink" Target="https://github.com/beanshell/beanshell/blob/7a60a06bb56774d1f6b1188ee66e712073b90a81/src/test/java/bsh/BshSerializationTest.java" TargetMode="External"/><Relationship Id="rId20" Type="http://schemas.openxmlformats.org/officeDocument/2006/relationships/hyperlink" Target="https://github.com/beanshell/beanshell/blob/7a60a06bb56774d1f6b1188ee66e712073b90a81/src/test/java/bsh/ConsoleInterfaceTest.java" TargetMode="External"/><Relationship Id="rId21" Type="http://schemas.openxmlformats.org/officeDocument/2006/relationships/hyperlink" Target="https://github.com/crowdin/crowdin-api-client-java/blob/f0f22b2b56d76d631224688193feed6eb501af30/src/test/java/com/crowdin/client/framework/TestHttpClient.java" TargetMode="External"/><Relationship Id="rId22" Type="http://schemas.openxmlformats.org/officeDocument/2006/relationships/hyperlink" Target="https://github.com/ezylang/EvalEx/blob/7c39c5478a3934ae862aa5d86718d7414ecb3a3c/src/test/java/com/ezylang/evalex/parser/TokenizerArrayTest.java" TargetMode="External"/><Relationship Id="rId23" Type="http://schemas.openxmlformats.org/officeDocument/2006/relationships/hyperlink" Target="https://github.com/ezylang/EvalEx/blob/7c39c5478a3934ae862aa5d86718d7414ecb3a3c/src/test/java/com/ezylang/evalex/parser/TokenizerStructureTest.java" TargetMode="External"/><Relationship Id="rId24" Type="http://schemas.openxmlformats.org/officeDocument/2006/relationships/hyperlink" Target="https://github.com/ezylang/EvalEx/blob/7c39c5478a3934ae862aa5d86718d7414ecb3a3c/src/test/java/com/ezylang/evalex/parser/TokenizerStringLiteralTest.java" TargetMode="External"/><Relationship Id="rId25" Type="http://schemas.openxmlformats.org/officeDocument/2006/relationships/hyperlink" Target="https://github.com/ezylang/EvalEx/blob/7c39c5478a3934ae862aa5d86718d7414ecb3a3c/src/test/java/com/ezylang/evalex/parser/TokenizerBracesTest.java" TargetMode="External"/><Relationship Id="rId26" Type="http://schemas.openxmlformats.org/officeDocument/2006/relationships/hyperlink" Target="https://github.com/ezylang/EvalEx/blob/7c39c5478a3934ae862aa5d86718d7414ecb3a3c/src/test/java/com/ezylang/evalex/parser/TokenizerNumberLiteralTest.java" TargetMode="External"/><Relationship Id="rId27" Type="http://schemas.openxmlformats.org/officeDocument/2006/relationships/hyperlink" Target="https://github.com/ezylang/EvalEx/blob/7c39c5478a3934ae862aa5d86718d7414ecb3a3c/src/test/java/com/ezylang/evalex/parser/TokenizerFunctionsTest.java" TargetMode="External"/><Relationship Id="rId28" Type="http://schemas.openxmlformats.org/officeDocument/2006/relationships/hyperlink" Target="https://github.com/ezylang/EvalEx/blob/7c39c5478a3934ae862aa5d86718d7414ecb3a3c/src/test/java/com/ezylang/evalex/parser/TokenizerPrefixPostfixTest.java" TargetMode="External"/><Relationship Id="rId29" Type="http://schemas.openxmlformats.org/officeDocument/2006/relationships/hyperlink" Target="https://github.com/ezylang/EvalEx/blob/7c39c5478a3934ae862aa5d86718d7414ecb3a3c/src/test/java/com/ezylang/evalex/parser/TokenizerExpressionTest.java" TargetMode="External"/><Relationship Id="rId30" Type="http://schemas.openxmlformats.org/officeDocument/2006/relationships/hyperlink" Target="https://github.com/ezylang/EvalEx/blob/7c39c5478a3934ae862aa5d86718d7414ecb3a3c/src/test/java/com/ezylang/evalex/parser/TokenizerImplicitMultiplicationTest.java" TargetMode="External"/><Relationship Id="rId31" Type="http://schemas.openxmlformats.org/officeDocument/2006/relationships/hyperlink" Target="https://github.com/ezylang/EvalEx/blob/7c39c5478a3934ae862aa5d86718d7414ecb3a3c/src/test/java/com/ezylang/evalex/parser/BaseParserTest.java" TargetMode="External"/><Relationship Id="rId32" Type="http://schemas.openxmlformats.org/officeDocument/2006/relationships/hyperlink" Target="https://github.com/giraud/reasonml-idea-plugin/blob/11d991db162a2d61de7c1b24a45246d09d6b2e86/src/test/java/com/reason/lang/ocaml/ModuleParsingTest.java" TargetMode="External"/><Relationship Id="rId33" Type="http://schemas.openxmlformats.org/officeDocument/2006/relationships/hyperlink" Target="https://github.com/giraud/reasonml-idea-plugin/blob/11d991db162a2d61de7c1b24a45246d09d6b2e86/src/test/java/com/reason/ide/search/reference/ORModuleResolutionPsiGistRMLTest.java" TargetMode="External"/><Relationship Id="rId34" Type="http://schemas.openxmlformats.org/officeDocument/2006/relationships/hyperlink" Target="https://github.com/giraud/reasonml-idea-plugin/blob/11d991db162a2d61de7c1b24a45246d09d6b2e86/src/test/java/com/reason/ide/search/reference/ORModuleResolutionPsiGistRESTest.java" TargetMode="External"/><Relationship Id="rId35" Type="http://schemas.openxmlformats.org/officeDocument/2006/relationships/hyperlink" Target="https://github.com/jitterted/ensembler/blob/14a39138787f8aa597c84f734844dd270f8c35a6/src/test/java/com/jitterted/mobreg/domain/EnsembleMemberStatusTest.java" TargetMode="External"/><Relationship Id="rId36" Type="http://schemas.openxmlformats.org/officeDocument/2006/relationships/hyperlink" Target="https://github.com/jitterted/ensembler/blob/14a39138787f8aa597c84f734844dd270f8c35a6/src/test/java/com/jitterted/mobreg/domain/EnsembleMembersTest.java" TargetMode="External"/><Relationship Id="rId37" Type="http://schemas.openxmlformats.org/officeDocument/2006/relationships/hyperlink" Target="https://github.com/jitterted/ensembler/blob/14a39138787f8aa597c84f734844dd270f8c35a6/src/test/java/com/jitterted/mobreg/domain/EnsembleEditTest.java" TargetMode="External"/><Relationship Id="rId38" Type="http://schemas.openxmlformats.org/officeDocument/2006/relationships/hyperlink" Target="https://github.com/jitterted/ensembler/blob/14a39138787f8aa597c84f734844dd270f8c35a6/src/test/java/com/jitterted/mobreg/domain/EnsembleStateTest.java" TargetMode="External"/><Relationship Id="rId39" Type="http://schemas.openxmlformats.org/officeDocument/2006/relationships/hyperlink" Target="https://github.com/jitterted/ensembler/blob/14a39138787f8aa597c84f734844dd270f8c35a6/src/test/java/com/jitterted/mobreg/adapter/in/web/admin/AdminDashboardControllerTest.java" TargetMode="External"/><Relationship Id="rId40" Type="http://schemas.openxmlformats.org/officeDocument/2006/relationships/hyperlink" Target="https://github.com/jitterted/ensembler/blob/14a39138787f8aa597c84f734844dd270f8c35a6/src/test/java/com/jitterted/mobreg/domain/EnsembleMemberRsvpTest.java" TargetMode="External"/><Relationship Id="rId41" Type="http://schemas.openxmlformats.org/officeDocument/2006/relationships/hyperlink" Target="https://github.com/jitterted/ensembler/blob/14a39138787f8aa597c84f734844dd270f8c35a6/src/test/java/com/jitterted/mobreg/adapter/in/web/member/EnsembleSummaryViewTest.java" TargetMode="External"/><Relationship Id="rId42" Type="http://schemas.openxmlformats.org/officeDocument/2006/relationships/hyperlink" Target="https://github.com/jitterted/ensembler/blob/14a39138787f8aa597c84f734844dd270f8c35a6/src/test/java/com/jitterted/mobreg/adapter/out/jdbc/EnsembleRepositoryDataJdbcAdapterTest.java" TargetMode="External"/><Relationship Id="rId43" Type="http://schemas.openxmlformats.org/officeDocument/2006/relationships/hyperlink" Target="https://github.com/jitterted/ensembler/blob/14a39138787f8aa597c84f734844dd270f8c35a6/src/test/java/com/jitterted/mobreg/application/EnsembleServiceScheduleTest.java" TargetMode="External"/><Relationship Id="rId44" Type="http://schemas.openxmlformats.org/officeDocument/2006/relationships/hyperlink" Target="https://github.com/jitterted/ensembler/blob/14a39138787f8aa597c84f734844dd270f8c35a6/src/test/java/com/jitterted/mobreg/adapter/in/web/member/MemberControllerTest.java" TargetMode="External"/><Relationship Id="rId45" Type="http://schemas.openxmlformats.org/officeDocument/2006/relationships/hyperlink" Target="https://github.com/jitterted/ensembler/blob/14a39138787f8aa597c84f734844dd270f8c35a6/src/test/java/com/jitterted/mobreg/application/EnsembleServiceEditExistingTest.java" TargetMode="External"/><Relationship Id="rId46" Type="http://schemas.openxmlformats.org/officeDocument/2006/relationships/hyperlink" Target="https://github.com/jitterted/ensembler/blob/14a39138787f8aa597c84f734844dd270f8c35a6/src/test/java/com/jitterted/mobreg/adapter/in/web/admin/DashboardEnsembleViewTest.java" TargetMode="External"/><Relationship Id="rId47" Type="http://schemas.openxmlformats.org/officeDocument/2006/relationships/hyperlink" Target="https://github.com/jitterted/ensembler/blob/14a39138787f8aa597c84f734844dd270f8c35a6/src/test/java/com/jitterted/mobreg/application/EnsembleServiceCancelTest.java" TargetMode="External"/><Relationship Id="rId48" Type="http://schemas.openxmlformats.org/officeDocument/2006/relationships/hyperlink" Target="https://github.com/jitterted/ensembler/blob/14a39138787f8aa597c84f734844dd270f8c35a6/src/test/java/com/jitterted/mobreg/application/EnsembleServiceFindTest.java" TargetMode="External"/><Relationship Id="rId49" Type="http://schemas.openxmlformats.org/officeDocument/2006/relationships/hyperlink" Target="https://github.com/jitterted/ensembler/blob/14a39138787f8aa597c84f734844dd270f8c35a6/src/test/java/com/jitterted/mobreg/adapter/in/web/admin/EnsembleDetailViewTest.java" TargetMode="External"/><Relationship Id="rId50" Type="http://schemas.openxmlformats.org/officeDocument/2006/relationships/hyperlink" Target="https://github.com/jitterted/ensembler/blob/14a39138787f8aa597c84f734844dd270f8c35a6/src/test/java/com/jitterted/mobreg/adapter/out/email/EmailToSendEnsembleScheduledNotifierTest.java" TargetMode="External"/><Relationship Id="rId51" Type="http://schemas.openxmlformats.org/officeDocument/2006/relationships/hyperlink" Target="https://github.com/jitterted/ensembler/blob/14a39138787f8aa597c84f734844dd270f8c35a6/src/test/java/com/jitterted/mobreg/adapter/out/email/EmailToSendMemberAcceptedNotifierTest.java" TargetMode="External"/><Relationship Id="rId52" Type="http://schemas.openxmlformats.org/officeDocument/2006/relationships/hyperlink" Target="https://github.com/jitterted/ensembler/blob/14a39138787f8aa597c84f734844dd270f8c35a6/src/test/java/com/jitterted/mobreg/adapter/out/jdbc/EnsembleDboMappingTest.java" TargetMode="External"/><Relationship Id="rId53" Type="http://schemas.openxmlformats.org/officeDocument/2006/relationships/hyperlink" Target="https://github.com/jitterted/ensembler/blob/14a39138787f8aa597c84f734844dd270f8c35a6/src/test/java/com/jitterted/mobreg/adapter/out/email/EmailToSendMembersWhenEnsembleCompletedTest.java" TargetMode="External"/><Relationship Id="rId54" Type="http://schemas.openxmlformats.org/officeDocument/2006/relationships/hyperlink" Target="https://github.com/jitterted/ensembler/blob/14a39138787f8aa597c84f734844dd270f8c35a6/src/test/java/com/jitterted/mobreg/adapter/out/jdbc/PostgresqlEntityTest.java" TargetMode="External"/><Relationship Id="rId55" Type="http://schemas.openxmlformats.org/officeDocument/2006/relationships/hyperlink" Target="https://github.com/jitterted/ensembler/blob/14a39138787f8aa597c84f734844dd270f8c35a6/src/test/java/com/jitterted/mobreg/application/EnsembleServiceCompletedTest.java" TargetMode="External"/><Relationship Id="rId56" Type="http://schemas.openxmlformats.org/officeDocument/2006/relationships/hyperlink" Target="https://github.com/jitterted/ensembler/blob/14a39138787f8aa597c84f734844dd270f8c35a6/src/test/java/com/jitterted/mobreg/adapter/out/jdbc/EnsembleServiceMemberTest.java" TargetMode="External"/><Relationship Id="rId57" Type="http://schemas.openxmlformats.org/officeDocument/2006/relationships/hyperlink" Target="https://github.com/jitterted/ensembler/blob/14a39138787f8aa597c84f734844dd270f8c35a6/src/test/java/com/jitterted/mobreg/adapter/out/mobtimer/MobParticipantsDtoCreationTest.java" TargetMode="External"/><Relationship Id="rId58" Type="http://schemas.openxmlformats.org/officeDocument/2006/relationships/hyperlink" Target="https://github.com/jitterted/ensembler/blob/14a39138787f8aa597c84f734844dd270f8c35a6/src/test/java/com/jitterted/mobreg/adapter/out/mobtimer/MobTimerMessageSenderTest.java" TargetMode="External"/><Relationship Id="rId59" Type="http://schemas.openxmlformats.org/officeDocument/2006/relationships/hyperlink" Target="https://github.com/jitterted/ensembler/blob/14a39138787f8aa597c84f734844dd270f8c35a6/src/test/java/com/jitterted/mobreg/application/EnsembleServiceMemberRegistrationNotificationTest.java" TargetMode="External"/><Relationship Id="rId60" Type="http://schemas.openxmlformats.org/officeDocument/2006/relationships/hyperlink" Target="https://github.com/jitterted/ensembler/blob/14a39138787f8aa597c84f734844dd270f8c35a6/src/test/java/com/jitterted/mobreg/application/GoogleCalendarLinkCreatorTest.java" TargetMode="External"/><Relationship Id="rId61" Type="http://schemas.openxmlformats.org/officeDocument/2006/relationships/hyperlink" Target="https://github.com/jitterted/ensembler/blob/14a39138787f8aa597c84f734844dd270f8c35a6/src/test/java/com/jitterted/mobreg/adapter/in/web/admin/AdminEndpointConfigurationTest.java" TargetMode="External"/><Relationship Id="rId62" Type="http://schemas.openxmlformats.org/officeDocument/2006/relationships/hyperlink" Target="https://github.com/jitterted/ensembler/blob/14a39138787f8aa597c84f734844dd270f8c35a6/src/test/java/com/jitterted/mobreg/application/EnsembleServiceEnsembleScheduledNotificationTest.java" TargetMode="External"/><Relationship Id="rId63" Type="http://schemas.openxmlformats.org/officeDocument/2006/relationships/hyperlink" Target="https://github.com/jitterted/ensembler/blob/14a39138787f8aa597c84f734844dd270f8c35a6/src/test/java/com/jitterted/mobreg/adapter/in/web/admin/ScheduleEnsembleFormTest.java" TargetMode="External"/><Relationship Id="rId64" Type="http://schemas.openxmlformats.org/officeDocument/2006/relationships/hyperlink" Target="https://github.com/jitterted/ensembler/blob/14a39138787f8aa597c84f734844dd270f8c35a6/src/test/java/com/jitterted/mobreg/application/DeleteMeetingConferenceSchedulerMock.java" TargetMode="External"/><Relationship Id="rId65" Type="http://schemas.openxmlformats.org/officeDocument/2006/relationships/hyperlink" Target="https://github.com/jitterted/ensembler/blob/14a39138787f8aa597c84f734844dd270f8c35a6/src/test/java/com/jitterted/mobreg/application/FailsToCreateMeetingConferenceScheduler.java" TargetMode="External"/><Relationship Id="rId66" Type="http://schemas.openxmlformats.org/officeDocument/2006/relationships/hyperlink" Target="https://github.com/jitterted/ensembler/blob/14a39138787f8aa597c84f734844dd270f8c35a6/src/test/java/com/jitterted/mobreg/application/TestEnsembleServiceBuilder.java" TargetMode="External"/><Relationship Id="rId67" Type="http://schemas.openxmlformats.org/officeDocument/2006/relationships/hyperlink" Target="https://github.com/jitterted/ensembler/blob/14a39138787f8aa597c84f734844dd270f8c35a6/src/test/java/com/jitterted/mobreg/application/ZoomConferenceSchedulerDeletesExpectedMeetingId.java" TargetMode="External"/><Relationship Id="rId68" Type="http://schemas.openxmlformats.org/officeDocument/2006/relationships/hyperlink" Target="https://github.com/jitterted/ensembler/blob/14a39138787f8aa597c84f734844dd270f8c35a6/src/test/java/com/jitterted/mobreg/application/port/DummyNotifier.java" TargetMode="External"/><Relationship Id="rId69" Type="http://schemas.openxmlformats.org/officeDocument/2006/relationships/hyperlink" Target="https://github.com/jitterted/ensembler/blob/14a39138787f8aa597c84f734844dd270f8c35a6/src/test/java/com/jitterted/mobreg/application/port/DummyVideoConferenceScheduler.java" TargetMode="External"/><Relationship Id="rId70" Type="http://schemas.openxmlformats.org/officeDocument/2006/relationships/hyperlink" Target="https://github.com/jitterted/ensembler/blob/14a39138787f8aa597c84f734844dd270f8c35a6/src/test/java/com/jitterted/mobreg/domain/EnsembleBuilderAndSaviour.java" TargetMode="External"/><Relationship Id="rId71" Type="http://schemas.openxmlformats.org/officeDocument/2006/relationships/hyperlink" Target="https://github.com/jitterted/ensembler/blob/14a39138787f8aa597c84f734844dd270f8c35a6/src/test/java/com/jitterted/mobreg/domain/EnsembleFactory.java" TargetMode="External"/><Relationship Id="rId72" Type="http://schemas.openxmlformats.org/officeDocument/2006/relationships/hyperlink" Target="https://github.com/jitterted/ensembler/blob/60ec3bf0273b63c210e1b7b6802c4f5f3c33710d/src/test/java/com/jitterted/mobreg/domain/EnsembleMemberStatusTest.java" TargetMode="External"/><Relationship Id="rId73" Type="http://schemas.openxmlformats.org/officeDocument/2006/relationships/hyperlink" Target="https://github.com/jitterted/ensembler/blob/60ec3bf0273b63c210e1b7b6802c4f5f3c33710d/src/test/java/com/jitterted/mobreg/domain/EnsembleMembersTest.java" TargetMode="External"/><Relationship Id="rId74" Type="http://schemas.openxmlformats.org/officeDocument/2006/relationships/hyperlink" Target="https://github.com/jitterted/ensembler/blob/60ec3bf0273b63c210e1b7b6802c4f5f3c33710d/src/test/java/com/jitterted/mobreg/domain/EnsembleEditTest.java" TargetMode="External"/><Relationship Id="rId75" Type="http://schemas.openxmlformats.org/officeDocument/2006/relationships/hyperlink" Target="https://github.com/jitterted/ensembler/blob/60ec3bf0273b63c210e1b7b6802c4f5f3c33710d/src/test/java/com/jitterted/mobreg/domain/EnsembleStateTest.java" TargetMode="External"/><Relationship Id="rId76" Type="http://schemas.openxmlformats.org/officeDocument/2006/relationships/hyperlink" Target="https://github.com/jitterted/ensembler/blob/60ec3bf0273b63c210e1b7b6802c4f5f3c33710d/src/test/java/com/jitterted/mobreg/adapter/in/web/admin/AdminDashboardControllerTest.java" TargetMode="External"/><Relationship Id="rId77" Type="http://schemas.openxmlformats.org/officeDocument/2006/relationships/hyperlink" Target="https://github.com/jitterted/ensembler/blob/60ec3bf0273b63c210e1b7b6802c4f5f3c33710d/src/test/java/com/jitterted/mobreg/domain/EnsembleMemberRsvpTest.java" TargetMode="External"/><Relationship Id="rId78" Type="http://schemas.openxmlformats.org/officeDocument/2006/relationships/hyperlink" Target="https://github.com/jitterted/ensembler/blob/60ec3bf0273b63c210e1b7b6802c4f5f3c33710d/src/test/java/com/jitterted/mobreg/adapter/in/web/member/EnsembleSummaryViewTest.java" TargetMode="External"/><Relationship Id="rId79" Type="http://schemas.openxmlformats.org/officeDocument/2006/relationships/hyperlink" Target="https://github.com/jitterted/ensembler/blob/60ec3bf0273b63c210e1b7b6802c4f5f3c33710d/src/test/java/com/jitterted/mobreg/adapter/out/jdbc/EnsembleRepositoryDataJdbcAdapterTest.java" TargetMode="External"/><Relationship Id="rId80" Type="http://schemas.openxmlformats.org/officeDocument/2006/relationships/hyperlink" Target="https://github.com/jitterted/ensembler/blob/60ec3bf0273b63c210e1b7b6802c4f5f3c33710d/src/test/java/com/jitterted/mobreg/application/EnsembleServiceScheduleTest.java" TargetMode="External"/><Relationship Id="rId81" Type="http://schemas.openxmlformats.org/officeDocument/2006/relationships/hyperlink" Target="https://github.com/jitterted/ensembler/blob/60ec3bf0273b63c210e1b7b6802c4f5f3c33710d/src/test/java/com/jitterted/mobreg/adapter/in/web/member/MemberControllerTest.java" TargetMode="External"/><Relationship Id="rId82" Type="http://schemas.openxmlformats.org/officeDocument/2006/relationships/hyperlink" Target="https://github.com/jitterted/ensembler/blob/60ec3bf0273b63c210e1b7b6802c4f5f3c33710d/src/test/java/com/jitterted/mobreg/application/EnsembleServiceEditExistingTest.java" TargetMode="External"/><Relationship Id="rId83" Type="http://schemas.openxmlformats.org/officeDocument/2006/relationships/hyperlink" Target="https://github.com/jitterted/ensembler/blob/60ec3bf0273b63c210e1b7b6802c4f5f3c33710d/src/test/java/com/jitterted/mobreg/adapter/in/web/admin/DashboardEnsembleViewTest.java" TargetMode="External"/><Relationship Id="rId84" Type="http://schemas.openxmlformats.org/officeDocument/2006/relationships/hyperlink" Target="https://github.com/jitterted/ensembler/blob/60ec3bf0273b63c210e1b7b6802c4f5f3c33710d/src/test/java/com/jitterted/mobreg/application/EnsembleServiceCancelTest.java" TargetMode="External"/><Relationship Id="rId85" Type="http://schemas.openxmlformats.org/officeDocument/2006/relationships/hyperlink" Target="https://github.com/jitterted/ensembler/blob/60ec3bf0273b63c210e1b7b6802c4f5f3c33710d/src/test/java/com/jitterted/mobreg/application/EnsembleServiceFindTest.java" TargetMode="External"/><Relationship Id="rId86" Type="http://schemas.openxmlformats.org/officeDocument/2006/relationships/hyperlink" Target="https://github.com/jitterted/ensembler/blob/60ec3bf0273b63c210e1b7b6802c4f5f3c33710d/src/test/java/com/jitterted/mobreg/adapter/in/web/admin/EnsembleDetailViewTest.java" TargetMode="External"/><Relationship Id="rId87" Type="http://schemas.openxmlformats.org/officeDocument/2006/relationships/hyperlink" Target="https://github.com/jitterted/ensembler/blob/60ec3bf0273b63c210e1b7b6802c4f5f3c33710d/src/test/java/com/jitterted/mobreg/adapter/out/email/EmailToSendEnsembleScheduledNotifierTest.java" TargetMode="External"/><Relationship Id="rId88" Type="http://schemas.openxmlformats.org/officeDocument/2006/relationships/hyperlink" Target="https://github.com/jitterted/ensembler/blob/60ec3bf0273b63c210e1b7b6802c4f5f3c33710d/src/test/java/com/jitterted/mobreg/adapter/out/email/EmailToSendMemberAcceptedNotifierTest.java" TargetMode="External"/><Relationship Id="rId89" Type="http://schemas.openxmlformats.org/officeDocument/2006/relationships/hyperlink" Target="https://github.com/jitterted/ensembler/blob/60ec3bf0273b63c210e1b7b6802c4f5f3c33710d/src/test/java/com/jitterted/mobreg/adapter/out/jdbc/EnsembleDboMappingTest.java" TargetMode="External"/><Relationship Id="rId90" Type="http://schemas.openxmlformats.org/officeDocument/2006/relationships/hyperlink" Target="https://github.com/jitterted/ensembler/blob/60ec3bf0273b63c210e1b7b6802c4f5f3c33710d/src/test/java/com/jitterted/mobreg/adapter/out/email/EmailToSendMembersWhenEnsembleCompletedTest.java" TargetMode="External"/><Relationship Id="rId91" Type="http://schemas.openxmlformats.org/officeDocument/2006/relationships/hyperlink" Target="https://github.com/jitterted/ensembler/blob/60ec3bf0273b63c210e1b7b6802c4f5f3c33710d/src/test/java/com/jitterted/mobreg/adapter/out/jdbc/PostgresqlEntityTest.java" TargetMode="External"/><Relationship Id="rId92" Type="http://schemas.openxmlformats.org/officeDocument/2006/relationships/hyperlink" Target="https://github.com/jitterted/ensembler/blob/60ec3bf0273b63c210e1b7b6802c4f5f3c33710d/src/test/java/com/jitterted/mobreg/application/EnsembleServiceCompletedTest.java" TargetMode="External"/><Relationship Id="rId93" Type="http://schemas.openxmlformats.org/officeDocument/2006/relationships/hyperlink" Target="https://github.com/jitterted/ensembler/blob/60ec3bf0273b63c210e1b7b6802c4f5f3c33710d/src/test/java/com/jitterted/mobreg/adapter/out/jdbc/EnsembleServiceMemberTest.java" TargetMode="External"/><Relationship Id="rId94" Type="http://schemas.openxmlformats.org/officeDocument/2006/relationships/hyperlink" Target="https://github.com/jitterted/ensembler/blob/60ec3bf0273b63c210e1b7b6802c4f5f3c33710d/src/test/java/com/jitterted/mobreg/adapter/out/mobtimer/MobParticipantsDtoCreationTest.java" TargetMode="External"/><Relationship Id="rId95" Type="http://schemas.openxmlformats.org/officeDocument/2006/relationships/hyperlink" Target="https://github.com/jitterted/ensembler/blob/60ec3bf0273b63c210e1b7b6802c4f5f3c33710d/src/test/java/com/jitterted/mobreg/adapter/out/mobtimer/MobTimerMessageSenderTest.java" TargetMode="External"/><Relationship Id="rId96" Type="http://schemas.openxmlformats.org/officeDocument/2006/relationships/hyperlink" Target="https://github.com/jitterted/ensembler/blob/60ec3bf0273b63c210e1b7b6802c4f5f3c33710d/src/test/java/com/jitterted/mobreg/application/EnsembleServiceMemberRegistrationNotificationTest.java" TargetMode="External"/><Relationship Id="rId97" Type="http://schemas.openxmlformats.org/officeDocument/2006/relationships/hyperlink" Target="https://github.com/jitterted/ensembler/blob/60ec3bf0273b63c210e1b7b6802c4f5f3c33710d/src/test/java/com/jitterted/mobreg/application/GoogleCalendarLinkCreatorTest.java" TargetMode="External"/><Relationship Id="rId98" Type="http://schemas.openxmlformats.org/officeDocument/2006/relationships/hyperlink" Target="https://github.com/jitterted/ensembler/blob/60ec3bf0273b63c210e1b7b6802c4f5f3c33710d/src/test/java/com/jitterted/mobreg/adapter/in/web/admin/AdminEndpointConfigurationTest.java" TargetMode="External"/><Relationship Id="rId99" Type="http://schemas.openxmlformats.org/officeDocument/2006/relationships/hyperlink" Target="https://github.com/jitterted/ensembler/blob/60ec3bf0273b63c210e1b7b6802c4f5f3c33710d/src/test/java/com/jitterted/mobreg/application/EnsembleServiceEnsembleScheduledNotificationTest.java" TargetMode="External"/><Relationship Id="rId100" Type="http://schemas.openxmlformats.org/officeDocument/2006/relationships/hyperlink" Target="https://github.com/jitterted/ensembler/blob/60ec3bf0273b63c210e1b7b6802c4f5f3c33710d/src/test/java/com/jitterted/mobreg/adapter/in/web/admin/ScheduleEnsembleFormTest.java" TargetMode="External"/><Relationship Id="rId101" Type="http://schemas.openxmlformats.org/officeDocument/2006/relationships/hyperlink" Target="https://github.com/jitterted/ensembler/blob/60ec3bf0273b63c210e1b7b6802c4f5f3c33710d/src/test/java/com/jitterted/mobreg/application/DeleteMeetingConferenceSchedulerMock.java" TargetMode="External"/><Relationship Id="rId102" Type="http://schemas.openxmlformats.org/officeDocument/2006/relationships/hyperlink" Target="https://github.com/jitterted/ensembler/blob/60ec3bf0273b63c210e1b7b6802c4f5f3c33710d/src/test/java/com/jitterted/mobreg/application/FailsToCreateMeetingConferenceScheduler.java" TargetMode="External"/><Relationship Id="rId103" Type="http://schemas.openxmlformats.org/officeDocument/2006/relationships/hyperlink" Target="https://github.com/jitterted/ensembler/blob/60ec3bf0273b63c210e1b7b6802c4f5f3c33710d/src/test/java/com/jitterted/mobreg/application/TestEnsembleServiceBuilder.java" TargetMode="External"/><Relationship Id="rId104" Type="http://schemas.openxmlformats.org/officeDocument/2006/relationships/hyperlink" Target="https://github.com/jitterted/ensembler/blob/60ec3bf0273b63c210e1b7b6802c4f5f3c33710d/src/test/java/com/jitterted/mobreg/application/ZoomConferenceSchedulerDeletesExpectedMeetingId.java" TargetMode="External"/><Relationship Id="rId105" Type="http://schemas.openxmlformats.org/officeDocument/2006/relationships/hyperlink" Target="https://github.com/jitterted/ensembler/blob/60ec3bf0273b63c210e1b7b6802c4f5f3c33710d/src/test/java/com/jitterted/mobreg/application/port/DummyNotifier.java" TargetMode="External"/><Relationship Id="rId106" Type="http://schemas.openxmlformats.org/officeDocument/2006/relationships/hyperlink" Target="https://github.com/jitterted/ensembler/blob/60ec3bf0273b63c210e1b7b6802c4f5f3c33710d/src/test/java/com/jitterted/mobreg/application/port/DummyVideoConferenceScheduler.java" TargetMode="External"/><Relationship Id="rId107" Type="http://schemas.openxmlformats.org/officeDocument/2006/relationships/hyperlink" Target="https://github.com/jitterted/ensembler/blob/60ec3bf0273b63c210e1b7b6802c4f5f3c33710d/src/test/java/com/jitterted/mobreg/domain/EnsembleBuilderAndSaviour.java" TargetMode="External"/><Relationship Id="rId108" Type="http://schemas.openxmlformats.org/officeDocument/2006/relationships/hyperlink" Target="https://github.com/jitterted/ensembler/blob/60ec3bf0273b63c210e1b7b6802c4f5f3c33710d/src/test/java/com/jitterted/mobreg/domain/EnsembleFactory.java" TargetMode="External"/><Relationship Id="rId109" Type="http://schemas.openxmlformats.org/officeDocument/2006/relationships/hyperlink" Target="https://github.com/jitterted/ensembler/blob/6207c9d46460fd0ce2d67305ea250c50672bce80/src/test/java/com/jitterted/mobreg/domain/EnsembleMemberStatusTest.java" TargetMode="External"/><Relationship Id="rId110" Type="http://schemas.openxmlformats.org/officeDocument/2006/relationships/hyperlink" Target="https://github.com/jitterted/ensembler/blob/6207c9d46460fd0ce2d67305ea250c50672bce80/src/test/java/com/jitterted/mobreg/domain/EnsembleMembersTest.java" TargetMode="External"/><Relationship Id="rId111" Type="http://schemas.openxmlformats.org/officeDocument/2006/relationships/hyperlink" Target="https://github.com/jitterted/ensembler/blob/6207c9d46460fd0ce2d67305ea250c50672bce80/src/test/java/com/jitterted/mobreg/domain/EnsembleEditTest.java" TargetMode="External"/><Relationship Id="rId112" Type="http://schemas.openxmlformats.org/officeDocument/2006/relationships/hyperlink" Target="https://github.com/jitterted/ensembler/blob/6207c9d46460fd0ce2d67305ea250c50672bce80/src/test/java/com/jitterted/mobreg/domain/EnsembleStateTest.java" TargetMode="External"/><Relationship Id="rId113" Type="http://schemas.openxmlformats.org/officeDocument/2006/relationships/hyperlink" Target="https://github.com/jitterted/ensembler/blob/6207c9d46460fd0ce2d67305ea250c50672bce80/src/test/java/com/jitterted/mobreg/adapter/in/web/admin/AdminDashboardControllerTest.java" TargetMode="External"/><Relationship Id="rId114" Type="http://schemas.openxmlformats.org/officeDocument/2006/relationships/hyperlink" Target="https://github.com/jitterted/ensembler/blob/6207c9d46460fd0ce2d67305ea250c50672bce80/src/test/java/com/jitterted/mobreg/domain/EnsembleMemberRsvpTest.java" TargetMode="External"/><Relationship Id="rId115" Type="http://schemas.openxmlformats.org/officeDocument/2006/relationships/hyperlink" Target="https://github.com/jitterted/ensembler/blob/6207c9d46460fd0ce2d67305ea250c50672bce80/src/test/java/com/jitterted/mobreg/adapter/in/web/member/EnsembleSummaryViewTest.java" TargetMode="External"/><Relationship Id="rId116" Type="http://schemas.openxmlformats.org/officeDocument/2006/relationships/hyperlink" Target="https://github.com/jitterted/ensembler/blob/6207c9d46460fd0ce2d67305ea250c50672bce80/src/test/java/com/jitterted/mobreg/adapter/out/jdbc/EnsembleRepositoryDataJdbcAdapterTest.java" TargetMode="External"/><Relationship Id="rId117" Type="http://schemas.openxmlformats.org/officeDocument/2006/relationships/hyperlink" Target="https://github.com/jitterted/ensembler/blob/6207c9d46460fd0ce2d67305ea250c50672bce80/src/test/java/com/jitterted/mobreg/application/EnsembleServiceScheduleTest.java" TargetMode="External"/><Relationship Id="rId118" Type="http://schemas.openxmlformats.org/officeDocument/2006/relationships/hyperlink" Target="https://github.com/jitterted/ensembler/blob/6207c9d46460fd0ce2d67305ea250c50672bce80/src/test/java/com/jitterted/mobreg/adapter/in/web/member/MemberControllerTest.java" TargetMode="External"/><Relationship Id="rId119" Type="http://schemas.openxmlformats.org/officeDocument/2006/relationships/hyperlink" Target="https://github.com/jitterted/ensembler/blob/6207c9d46460fd0ce2d67305ea250c50672bce80/src/test/java/com/jitterted/mobreg/application/EnsembleServiceEditExistingTest.java" TargetMode="External"/><Relationship Id="rId120" Type="http://schemas.openxmlformats.org/officeDocument/2006/relationships/hyperlink" Target="https://github.com/jitterted/ensembler/blob/6207c9d46460fd0ce2d67305ea250c50672bce80/src/test/java/com/jitterted/mobreg/adapter/in/web/admin/DashboardEnsembleViewTest.java" TargetMode="External"/><Relationship Id="rId121" Type="http://schemas.openxmlformats.org/officeDocument/2006/relationships/hyperlink" Target="https://github.com/jitterted/ensembler/blob/6207c9d46460fd0ce2d67305ea250c50672bce80/src/test/java/com/jitterted/mobreg/application/EnsembleServiceCancelTest.java" TargetMode="External"/><Relationship Id="rId122" Type="http://schemas.openxmlformats.org/officeDocument/2006/relationships/hyperlink" Target="https://github.com/jitterted/ensembler/blob/6207c9d46460fd0ce2d67305ea250c50672bce80/src/test/java/com/jitterted/mobreg/application/EnsembleServiceFindTest.java" TargetMode="External"/><Relationship Id="rId123" Type="http://schemas.openxmlformats.org/officeDocument/2006/relationships/hyperlink" Target="https://github.com/jitterted/ensembler/blob/6207c9d46460fd0ce2d67305ea250c50672bce80/src/test/java/com/jitterted/mobreg/adapter/in/web/admin/EnsembleDetailViewTest.java" TargetMode="External"/><Relationship Id="rId124" Type="http://schemas.openxmlformats.org/officeDocument/2006/relationships/hyperlink" Target="https://github.com/jitterted/ensembler/blob/6207c9d46460fd0ce2d67305ea250c50672bce80/src/test/java/com/jitterted/mobreg/adapter/out/email/EmailToSendEnsembleScheduledNotifierTest.java" TargetMode="External"/><Relationship Id="rId125" Type="http://schemas.openxmlformats.org/officeDocument/2006/relationships/hyperlink" Target="https://github.com/jitterted/ensembler/blob/6207c9d46460fd0ce2d67305ea250c50672bce80/src/test/java/com/jitterted/mobreg/adapter/out/email/EmailToSendMemberAcceptedNotifierTest.java" TargetMode="External"/><Relationship Id="rId126" Type="http://schemas.openxmlformats.org/officeDocument/2006/relationships/hyperlink" Target="https://github.com/jitterted/ensembler/blob/6207c9d46460fd0ce2d67305ea250c50672bce80/src/test/java/com/jitterted/mobreg/adapter/out/jdbc/EnsembleDboMappingTest.java" TargetMode="External"/><Relationship Id="rId127" Type="http://schemas.openxmlformats.org/officeDocument/2006/relationships/hyperlink" Target="https://github.com/jitterted/ensembler/blob/6207c9d46460fd0ce2d67305ea250c50672bce80/src/test/java/com/jitterted/mobreg/adapter/out/email/EmailToSendMembersWhenEnsembleCompletedTest.java" TargetMode="External"/><Relationship Id="rId128" Type="http://schemas.openxmlformats.org/officeDocument/2006/relationships/hyperlink" Target="https://github.com/jitterted/ensembler/blob/6207c9d46460fd0ce2d67305ea250c50672bce80/src/test/java/com/jitterted/mobreg/adapter/out/jdbc/PostgresqlEntityTest.java" TargetMode="External"/><Relationship Id="rId129" Type="http://schemas.openxmlformats.org/officeDocument/2006/relationships/hyperlink" Target="https://github.com/jitterted/ensembler/blob/6207c9d46460fd0ce2d67305ea250c50672bce80/src/test/java/com/jitterted/mobreg/application/EnsembleServiceCompletedTest.java" TargetMode="External"/><Relationship Id="rId130" Type="http://schemas.openxmlformats.org/officeDocument/2006/relationships/hyperlink" Target="https://github.com/jitterted/ensembler/blob/6207c9d46460fd0ce2d67305ea250c50672bce80/src/test/java/com/jitterted/mobreg/adapter/out/jdbc/EnsembleServiceMemberTest.java" TargetMode="External"/><Relationship Id="rId131" Type="http://schemas.openxmlformats.org/officeDocument/2006/relationships/hyperlink" Target="https://github.com/jitterted/ensembler/blob/6207c9d46460fd0ce2d67305ea250c50672bce80/src/test/java/com/jitterted/mobreg/adapter/out/mobtimer/MobParticipantsDtoCreationTest.java" TargetMode="External"/><Relationship Id="rId132" Type="http://schemas.openxmlformats.org/officeDocument/2006/relationships/hyperlink" Target="https://github.com/jitterted/ensembler/blob/6207c9d46460fd0ce2d67305ea250c50672bce80/src/test/java/com/jitterted/mobreg/adapter/out/mobtimer/MobTimerMessageSenderTest.java" TargetMode="External"/><Relationship Id="rId133" Type="http://schemas.openxmlformats.org/officeDocument/2006/relationships/hyperlink" Target="https://github.com/jitterted/ensembler/blob/6207c9d46460fd0ce2d67305ea250c50672bce80/src/test/java/com/jitterted/mobreg/application/EnsembleServiceMemberRegistrationNotificationTest.java" TargetMode="External"/><Relationship Id="rId134" Type="http://schemas.openxmlformats.org/officeDocument/2006/relationships/hyperlink" Target="https://github.com/jitterted/ensembler/blob/6207c9d46460fd0ce2d67305ea250c50672bce80/src/test/java/com/jitterted/mobreg/application/GoogleCalendarLinkCreatorTest.java" TargetMode="External"/><Relationship Id="rId135" Type="http://schemas.openxmlformats.org/officeDocument/2006/relationships/hyperlink" Target="https://github.com/jitterted/ensembler/blob/6207c9d46460fd0ce2d67305ea250c50672bce80/src/test/java/com/jitterted/mobreg/adapter/in/web/admin/AdminEndpointConfigurationTest.java" TargetMode="External"/><Relationship Id="rId136" Type="http://schemas.openxmlformats.org/officeDocument/2006/relationships/hyperlink" Target="https://github.com/jitterted/ensembler/blob/6207c9d46460fd0ce2d67305ea250c50672bce80/src/test/java/com/jitterted/mobreg/application/EnsembleServiceEnsembleScheduledNotificationTest.java" TargetMode="External"/><Relationship Id="rId137" Type="http://schemas.openxmlformats.org/officeDocument/2006/relationships/hyperlink" Target="https://github.com/jitterted/ensembler/blob/6207c9d46460fd0ce2d67305ea250c50672bce80/src/test/java/com/jitterted/mobreg/adapter/in/web/admin/ScheduleEnsembleFormTest.java" TargetMode="External"/><Relationship Id="rId138" Type="http://schemas.openxmlformats.org/officeDocument/2006/relationships/hyperlink" Target="https://github.com/jitterted/ensembler/blob/6207c9d46460fd0ce2d67305ea250c50672bce80/src/test/java/com/jitterted/mobreg/application/DeleteMeetingConferenceSchedulerMock.java" TargetMode="External"/><Relationship Id="rId139" Type="http://schemas.openxmlformats.org/officeDocument/2006/relationships/hyperlink" Target="https://github.com/jitterted/ensembler/blob/6207c9d46460fd0ce2d67305ea250c50672bce80/src/test/java/com/jitterted/mobreg/application/FailsToCreateMeetingConferenceScheduler.java" TargetMode="External"/><Relationship Id="rId140" Type="http://schemas.openxmlformats.org/officeDocument/2006/relationships/hyperlink" Target="https://github.com/jitterted/ensembler/blob/6207c9d46460fd0ce2d67305ea250c50672bce80/src/test/java/com/jitterted/mobreg/application/TestEnsembleServiceBuilder.java" TargetMode="External"/><Relationship Id="rId141" Type="http://schemas.openxmlformats.org/officeDocument/2006/relationships/hyperlink" Target="https://github.com/jitterted/ensembler/blob/6207c9d46460fd0ce2d67305ea250c50672bce80/src/test/java/com/jitterted/mobreg/application/ZoomConferenceSchedulerDeletesExpectedMeetingId.java" TargetMode="External"/><Relationship Id="rId142" Type="http://schemas.openxmlformats.org/officeDocument/2006/relationships/hyperlink" Target="https://github.com/jitterted/ensembler/blob/6207c9d46460fd0ce2d67305ea250c50672bce80/src/test/java/com/jitterted/mobreg/application/port/DummyNotifier.java" TargetMode="External"/><Relationship Id="rId143" Type="http://schemas.openxmlformats.org/officeDocument/2006/relationships/hyperlink" Target="https://github.com/jitterted/ensembler/blob/6207c9d46460fd0ce2d67305ea250c50672bce80/src/test/java/com/jitterted/mobreg/application/port/DummyVideoConferenceScheduler.java" TargetMode="External"/><Relationship Id="rId144" Type="http://schemas.openxmlformats.org/officeDocument/2006/relationships/hyperlink" Target="https://github.com/jitterted/ensembler/blob/6207c9d46460fd0ce2d67305ea250c50672bce80/src/test/java/com/jitterted/mobreg/domain/EnsembleBuilderAndSaviour.java" TargetMode="External"/><Relationship Id="rId145" Type="http://schemas.openxmlformats.org/officeDocument/2006/relationships/hyperlink" Target="https://github.com/jitterted/ensembler/blob/6207c9d46460fd0ce2d67305ea250c50672bce80/src/test/java/com/jitterted/mobreg/domain/EnsembleFactory.java" TargetMode="External"/><Relationship Id="rId146" Type="http://schemas.openxmlformats.org/officeDocument/2006/relationships/hyperlink" Target="https://github.com/slub/urnlib/blob/106be8d1b8047f93a715edc03fdc1b17c3aacc4b/src/test/java/de/slub/urn/RFC8141ParserTest.java" TargetMode="External"/><Relationship Id="rId147" Type="http://schemas.openxmlformats.org/officeDocument/2006/relationships/hyperlink" Target="https://github.com/slub/urnlib/blob/106be8d1b8047f93a715edc03fdc1b17c3aacc4b/src/test/java/de/slub/urn/RQFRFC8141Test.java" TargetMode="External"/><Relationship Id="rId148" Type="http://schemas.openxmlformats.org/officeDocument/2006/relationships/hyperlink" Target="https://github.com/snowflakedb/snowflake-jdbc/blob/002bc9bb528a71b0233742240d02ce4677fb75d6/src/test/java/net/snowflake/client/jdbc/ConnectStringParseTest.java" TargetMode="External"/><Relationship Id="rId149" Type="http://schemas.openxmlformats.org/officeDocument/2006/relationships/hyperlink" Target="https://github.com/snowflakedb/snowflake-jdbc/blob/002bc9bb528a71b0233742240d02ce4677fb75d6/src/test/java/net/snowflake/client/jdbc/SnowflakeDriverTest.java" TargetMode="External"/><Relationship Id="rId150" Type="http://schemas.openxmlformats.org/officeDocument/2006/relationships/hyperlink" Target="https://github.com/snowflakedb/snowflake-jdbc/blob/002bc9bb528a71b0233742240d02ce4677fb75d6/src/test/java/net/snowflake/client/jdbc/SnowflakeConnectionV1Test.java" TargetMode="External"/><Relationship Id="rId151" Type="http://schemas.openxmlformats.org/officeDocument/2006/relationships/hyperlink" Target="https://github.com/snowflakedb/snowflake-jdbc/blob/002bc9bb528a71b0233742240d02ce4677fb75d6/src/test/java/net/snowflake/client/jdbc/MockConnectionTest.java" TargetMode="External"/><Relationship Id="rId152" Type="http://schemas.openxmlformats.org/officeDocument/2006/relationships/hyperlink" Target="https://github.com/snowflakedb/snowflake-jdbc/blob/15a45aca6bcd42e354ee6cb6ccd822b75647351d/src/test/java/net/snowflake/client/jdbc/FileUploaderLatestIT.java" TargetMode="External"/><Relationship Id="rId153" Type="http://schemas.openxmlformats.org/officeDocument/2006/relationships/hyperlink" Target="https://github.com/snowflakedb/snowflake-jdbc/blob/15a45aca6bcd42e354ee6cb6ccd822b75647351d/src/test/java/net/snowflake/client/jdbc/FileUploaderSessionlessTest.java" TargetMode="External"/><Relationship Id="rId154" Type="http://schemas.openxmlformats.org/officeDocument/2006/relationships/hyperlink" Target="https://github.com/snowflakedb/snowflake-jdbc/blob/15a45aca6bcd42e354ee6cb6ccd822b75647351d/src/test/java/net/snowflake/client/jdbc/SnowflakeDriverLatestIT.java" TargetMode="External"/><Relationship Id="rId155" Type="http://schemas.openxmlformats.org/officeDocument/2006/relationships/hyperlink" Target="https://github.com/snowflakedb/snowflake-jdbc/blob/15a45aca6bcd42e354ee6cb6ccd822b75647351d/src/test/java/net/snowflake/client/jdbc/FileUploaderExpandFileNamesTest.java" TargetMode="External"/><Relationship Id="rId156" Type="http://schemas.openxmlformats.org/officeDocument/2006/relationships/hyperlink" Target="https://github.com/snowflakedb/snowflake-jdbc/blob/15a45aca6bcd42e354ee6cb6ccd822b75647351d/src/test/java/net/snowflake/client/jdbc/FileUploaderMimeTypeToCompressionTypeTest.java" TargetMode="External"/><Relationship Id="rId157" Type="http://schemas.openxmlformats.org/officeDocument/2006/relationships/hyperlink" Target="https://github.com/snowflakedb/snowflake-jdbc/blob/15a45aca6bcd42e354ee6cb6ccd822b75647351d/src/test/java/net/snowflake/client/jdbc/cloud/storage/SnowflakeS3ClientLatestIT.java" TargetMode="External"/><Relationship Id="rId158" Type="http://schemas.openxmlformats.org/officeDocument/2006/relationships/hyperlink" Target="https://github.com/snowflakedb/snowflake-jdbc/blob/15a45aca6bcd42e354ee6cb6ccd822b75647351d/src/test/java/net/snowflake/client/jdbc/SnowflakeAzureClientHandleExceptionLatestIT.java" TargetMode="External"/><Relationship Id="rId159" Type="http://schemas.openxmlformats.org/officeDocument/2006/relationships/hyperlink" Target="https://github.com/snowflakedb/snowflake-jdbc/blob/15a45aca6bcd42e354ee6cb6ccd822b75647351d/src/test/java/net/snowflake/client/jdbc/SnowflakeGcsClientHandleExceptionLatestIT.java" TargetMode="External"/><Relationship Id="rId160" Type="http://schemas.openxmlformats.org/officeDocument/2006/relationships/hyperlink" Target="https://github.com/snowflakedb/snowflake-jdbc/blob/15a45aca6bcd42e354ee6cb6ccd822b75647351d/src/test/java/net/snowflake/client/jdbc/SnowflakeS3ClientHandleExceptionLatestIT.java" TargetMode="External"/><Relationship Id="rId161" Type="http://schemas.openxmlformats.org/officeDocument/2006/relationships/hyperlink" Target="https://github.com/snowflakedb/snowflake-jdbc/blob/15a45aca6bcd42e354ee6cb6ccd822b75647351d/src/test/java/net/snowflake/client/jdbc/cloud/storage/SnowflakeAzureClientLatestIT.java" TargetMode="External"/><Relationship Id="rId162" Type="http://schemas.openxmlformats.org/officeDocument/2006/relationships/hyperlink" Target="https://github.com/spring-projects/spring-guice/blob/ce15b8e5802ad435ab296693ac84dd41d64106f1/src/test/java/org/springframework/guice/module/SpringModuleGuiceBindingAwareTests.java" TargetMode="External"/><Relationship Id="rId163" Type="http://schemas.openxmlformats.org/officeDocument/2006/relationships/hyperlink" Target="https://github.com/spring-projects/spring-guice/blob/ce15b8e5802ad435ab296693ac84dd41d64106f1/src/test/java/org/springframework/guice/module/SpringModuleWrappedTests.java" TargetMode="External"/><Relationship Id="rId164" Type="http://schemas.openxmlformats.org/officeDocument/2006/relationships/hyperlink" Target="https://github.com/spring-projects/spring-guice/blob/ce15b8e5802ad435ab296693ac84dd41d64106f1/src/test/java/org/springframework/guice/annotation/GuiceModuleAnnotationTests.java" TargetMode="External"/><Relationship Id="rId165" Type="http://schemas.openxmlformats.org/officeDocument/2006/relationships/hyperlink" Target="https://github.com/spring-projects/spring-guice/blob/ce15b8e5802ad435ab296693ac84dd41d64106f1/src/test/java/org/springframework/guice/module/SpringModuleMetadataTests.java" TargetMode="External"/><Relationship Id="rId166" Type="http://schemas.openxmlformats.org/officeDocument/2006/relationships/hyperlink" Target="https://github.com/spring-projects/spring-guice/blob/ce15b8e5802ad435ab296693ac84dd41d64106f1/src/test/java/org/springframework/guice/PartialInjectionTests.java" TargetMode="External"/><Relationship Id="rId167" Type="http://schemas.openxmlformats.org/officeDocument/2006/relationships/hyperlink" Target="https://github.com/spring-projects/spring-guice/blob/ce15b8e5802ad435ab296693ac84dd41d64106f1/src/test/java/org/springframework/guice/MapBindingDeduplicationTests.java" TargetMode="External"/><Relationship Id="rId168" Type="http://schemas.openxmlformats.org/officeDocument/2006/relationships/hyperlink" Target="https://github.com/spring-projects/spring-guice/blob/ce15b8e5802ad435ab296693ac84dd41d64106f1/src/test/java/org/springframework/guice/module/SpringModuleWiringTests.java" TargetMode="External"/><Relationship Id="rId169" Type="http://schemas.openxmlformats.org/officeDocument/2006/relationships/hyperlink" Target="https://github.com/vmzakharov/dataframe-ec/blob/12af99192d241ff9e4dcf78e92cef31117b7d05a/src/test/java/io/github/vmzakharov/ecdataframe/dsl/ObjectValueCompareOpTest.java" TargetMode="External"/><Relationship Id="rId170" Type="http://schemas.openxmlformats.org/officeDocument/2006/relationships/hyperlink" Target="https://github.com/vmzakharov/dataframe-ec/blob/12af99192d241ff9e4dcf78e92cef31117b7d05a/src/test/java/io/github/vmzakharov/ecdataframe/dsl/ObjectValueContainsOpTest.java" TargetMode="External"/><Relationship Id="rId171" Type="http://schemas.openxmlformats.org/officeDocument/2006/relationships/hyperlink" Target="https://github.com/vmzakharov/dataframe-ec/blob/12af99192d241ff9e4dcf78e92cef31117b7d05a/src/test/java/io/github/vmzakharov/ecdataframe/dsl/ValueCompareTest.java" TargetMode="External"/><Relationship Id="rId172" Type="http://schemas.openxmlformats.org/officeDocument/2006/relationships/hyperlink" Target="https://github.com/vmzakharov/dataframe-ec/blob/12af99192d241ff9e4dcf78e92cef31117b7d05a/src/test/java/io/github/vmzakharov/ecdataframe/dsl/function/BuiltInFormatterTest.java" TargetMode="External"/><Relationship Id="rId173" Type="http://schemas.openxmlformats.org/officeDocument/2006/relationships/hyperlink" Target="https://github.com/vmzakharov/dataframe-ec/blob/12af99192d241ff9e4dcf78e92cef31117b7d05a/src/test/java/io/github/vmzakharov/ecdataframe/TypeInferenceTest.java" TargetMode="External"/><Relationship Id="rId174" Type="http://schemas.openxmlformats.org/officeDocument/2006/relationships/hyperlink" Target="https://github.com/vmzakharov/dataframe-ec/blob/12af99192d241ff9e4dcf78e92cef31117b7d05a/src/test/java/io/github/vmzakharov/ecdataframe/ExpressionWithNullValuesTest.java" TargetMode="External"/><Relationship Id="rId175" Type="http://schemas.openxmlformats.org/officeDocument/2006/relationships/hyperlink" Target="https://github.com/vmzakharov/dataframe-ec/blob/12af99192d241ff9e4dcf78e92cef31117b7d05a/src/test/java/io/github/vmzakharov/ecdataframe/dsl/value/ValueTest.java" TargetMode="External"/><Relationship Id="rId176" Type="http://schemas.openxmlformats.org/officeDocument/2006/relationships/hyperlink" Target="https://github.com/vmzakharov/dataframe-ec/blob/12af99192d241ff9e4dcf78e92cef31117b7d05a/src/test/java/io/github/vmzakharov/ecdataframe/HandcraftedExpressionTreeTest.java" TargetMode="External"/><Relationship Id="rId177" Type="http://schemas.openxmlformats.org/officeDocument/2006/relationships/hyperlink" Target="https://github.com/w3c/epubcheck/blob/0759a82ae40706269aa3c88e9a175bf8ce7a2f54/src/test/java/org/w3c/epubcheck/test/ExecutionSteps.java" TargetMode="External"/><Relationship Id="rId178" Type="http://schemas.openxmlformats.org/officeDocument/2006/relationships/hyperlink" Target="https://github.com/wmixvideo/nfe/blob/67518e14db7e1c5b910cadb3bd902e99b79bec4c/src/test/java/com/fincatto/documentofiscal/mdfe3/FabricaDeObjetosFakeMDFe.java" TargetMode="External"/><Relationship Id="rId179" Type="http://schemas.openxmlformats.org/officeDocument/2006/relationships/hyperlink" Target="https://github.com/xtremexp/UT4X-Converter/blob/e719841eb2603a1db7d33d2e922fcb42a13e608f/src/test/java/org/xtx/ut4converter/t3d/T3DUE2TerrainTest.java" TargetMode="External"/><Relationship Id="rId180" Type="http://schemas.openxmlformats.org/officeDocument/2006/relationships/hyperlink" Target="https://github.com/xtremexp/UT4X-Converter/blob/e719841eb2603a1db7d33d2e922fcb42a13e608f/src/test/java/org/xtx/ut4converter/t3d/T3DTestUtils.java" TargetMode="External"/><Relationship Id="rId181" Type="http://schemas.openxmlformats.org/officeDocument/2006/relationships/hyperlink" Target="https://github.com/xtremexp/UT4X-Converter/blob/e719841eb2603a1db7d33d2e922fcb42a13e608f/src/test/java/org/xtx/ut4converter/t3d/T3DUE3TerrainTest.java" TargetMode="External"/><Relationship Id="rId182" Type="http://schemas.openxmlformats.org/officeDocument/2006/relationships/hyperlink" Target="https://github.com/GoSimpleLLC/nbvcxz/blob/ee8d5c62f4fbba1b975a1e8675abb5dff3ef4cb6/src/test/java/me/gosimple/nbvcxz/NbvcxzTest.java" TargetMode="External"/><Relationship Id="rId183" Type="http://schemas.openxmlformats.org/officeDocument/2006/relationships/hyperlink" Target="https://github.com/GoSimpleLLC/nbvcxz/blob/ee8d5c62f4fbba1b975a1e8675abb5dff3ef4cb6/src/test/java/me/gosimple/nbvcxz/matching/match/DateMatchTest.java" TargetMode="External"/><Relationship Id="rId184" Type="http://schemas.openxmlformats.org/officeDocument/2006/relationships/hyperlink" Target="https://github.com/GoSimpleLLC/nbvcxz/blob/ee8d5c62f4fbba1b975a1e8675abb5dff3ef4cb6/src/test/java/me/gosimple/nbvcxz/matching/match/DictionaryMatchTest.java" TargetMode="External"/><Relationship Id="rId185" Type="http://schemas.openxmlformats.org/officeDocument/2006/relationships/hyperlink" Target="https://github.com/GoSimpleLLC/nbvcxz/blob/ee8d5c62f4fbba1b975a1e8675abb5dff3ef4cb6/src/test/java/me/gosimple/nbvcxz/matching/match/RepeatMatchTest.java" TargetMode="External"/><Relationship Id="rId186" Type="http://schemas.openxmlformats.org/officeDocument/2006/relationships/hyperlink" Target="https://github.com/GoSimpleLLC/nbvcxz/blob/ee8d5c62f4fbba1b975a1e8675abb5dff3ef4cb6/src/test/java/me/gosimple/nbvcxz/matching/match/YearMatchTest.java" TargetMode="External"/><Relationship Id="rId187" Type="http://schemas.openxmlformats.org/officeDocument/2006/relationships/hyperlink" Target="https://github.com/GoSimpleLLC/nbvcxz/blob/ee8d5c62f4fbba1b975a1e8675abb5dff3ef4cb6/src/test/java/me/gosimple/nbvcxz/scoring/ScoreTest.java" TargetMode="External"/><Relationship Id="rId188" Type="http://schemas.openxmlformats.org/officeDocument/2006/relationships/hyperlink" Target="https://github.com/GoSimpleLLC/nbvcxz/blob/ee8d5c62f4fbba1b975a1e8675abb5dff3ef4cb6/src/test/java/me/gosimple/nbvcxz/scoring/TimeEstimateTest.java" TargetMode="External"/><Relationship Id="rId189" Type="http://schemas.openxmlformats.org/officeDocument/2006/relationships/hyperlink" Target="https://github.com/GoSimpleLLC/nbvcxz/blob/ee8d5c62f4fbba1b975a1e8675abb5dff3ef4cb6/src/test/java/me/gosimple/nbvcxz/matching/match/BaseMatchTest.java" TargetMode="External"/><Relationship Id="rId190" Type="http://schemas.openxmlformats.org/officeDocument/2006/relationships/hyperlink" Target="https://github.com/GoSimpleLLC/nbvcxz/blob/ee8d5c62f4fbba1b975a1e8675abb5dff3ef4cb6/src/test/java/me/gosimple/nbvcxz/matching/DictionaryMatcherTest.java" TargetMode="External"/><Relationship Id="rId191" Type="http://schemas.openxmlformats.org/officeDocument/2006/relationships/hyperlink" Target="https://github.com/GoSimpleLLC/nbvcxz/blob/ee8d5c62f4fbba1b975a1e8675abb5dff3ef4cb6/src/test/java/me/gosimple/nbvcxz/matching/DateMatcherTest.java" TargetMode="External"/><Relationship Id="rId192" Type="http://schemas.openxmlformats.org/officeDocument/2006/relationships/hyperlink" Target="https://github.com/GoSimpleLLC/nbvcxz/blob/ee8d5c62f4fbba1b975a1e8675abb5dff3ef4cb6/src/test/java/me/gosimple/nbvcxz/matching/RepeatMatcherTest.java" TargetMode="External"/><Relationship Id="rId193" Type="http://schemas.openxmlformats.org/officeDocument/2006/relationships/hyperlink" Target="https://github.com/GoSimpleLLC/nbvcxz/blob/ee8d5c62f4fbba1b975a1e8675abb5dff3ef4cb6/src/test/java/me/gosimple/nbvcxz/matching/SequenceMatcherTest.java" TargetMode="External"/><Relationship Id="rId194" Type="http://schemas.openxmlformats.org/officeDocument/2006/relationships/hyperlink" Target="https://github.com/GoSimpleLLC/nbvcxz/blob/ee8d5c62f4fbba1b975a1e8675abb5dff3ef4cb6/src/test/java/me/gosimple/nbvcxz/matching/SpacialMatcherTest.java" TargetMode="External"/><Relationship Id="rId195" Type="http://schemas.openxmlformats.org/officeDocument/2006/relationships/hyperlink" Target="https://github.com/GoSimpleLLC/nbvcxz/blob/ee8d5c62f4fbba1b975a1e8675abb5dff3ef4cb6/src/test/java/me/gosimple/nbvcxz/matching/YearMatcherTest.java" TargetMode="External"/><Relationship Id="rId196" Type="http://schemas.openxmlformats.org/officeDocument/2006/relationships/hyperlink" Target="https://github.com/GoSimpleLLC/nbvcxz/blob/ee8d5c62f4fbba1b975a1e8675abb5dff3ef4cb6/src/test/java/me/gosimple/nbvcxz/matching/match/SequenceMatchTest.java" TargetMode="External"/><Relationship Id="rId197" Type="http://schemas.openxmlformats.org/officeDocument/2006/relationships/hyperlink" Target="https://github.com/GoSimpleLLC/nbvcxz/blob/ee8d5c62f4fbba1b975a1e8675abb5dff3ef4cb6/src/test/java/me/gosimple/nbvcxz/matching/match/SpacialMatchTest.java" TargetMode="External"/><Relationship Id="rId198" Type="http://schemas.openxmlformats.org/officeDocument/2006/relationships/hyperlink" Target="https://github.com/GoSimpleLLC/nbvcxz/blob/ee8d5c62f4fbba1b975a1e8675abb5dff3ef4cb6/src/test/java/me/gosimple/nbvcxz/NbvcxzTest.java" TargetMode="External"/><Relationship Id="rId199" Type="http://schemas.openxmlformats.org/officeDocument/2006/relationships/hyperlink" Target="https://github.com/GoSimpleLLC/nbvcxz/blob/ee8d5c62f4fbba1b975a1e8675abb5dff3ef4cb6/src/test/java/me/gosimple/nbvcxz/matching/DictionaryMatcherTest.java" TargetMode="External"/><Relationship Id="rId200" Type="http://schemas.openxmlformats.org/officeDocument/2006/relationships/hyperlink" Target="https://github.com/jhy/jsoup/blob/0121311b1bd56cbbd29e9b291d42564d5135afa5/src/test/java/org/jsoup/helper/HttpConnectionTest.java" TargetMode="External"/><Relationship Id="rId201" Type="http://schemas.openxmlformats.org/officeDocument/2006/relationships/hyperlink" Target="https://github.com/jhy/jsoup/blob/1657e8fd65889cd4a60052ed31f9cb245c02dfad/src/test/java/org/jsoup/nodes/ElementTest.java" TargetMode="External"/><Relationship Id="rId202" Type="http://schemas.openxmlformats.org/officeDocument/2006/relationships/hyperlink" Target="https://github.com/jhy/jsoup/blob/1657e8fd65889cd4a60052ed31f9cb245c02dfad/src/test/java/org/jsoup/parser/HtmlParserTest.java" TargetMode="External"/><Relationship Id="rId203" Type="http://schemas.openxmlformats.org/officeDocument/2006/relationships/hyperlink" Target="https://github.com/jhy/jsoup/blob/1657e8fd65889cd4a60052ed31f9cb245c02dfad/src/test/java/org/jsoup/select/ElementsTest.java" TargetMode="External"/><Relationship Id="rId204" Type="http://schemas.openxmlformats.org/officeDocument/2006/relationships/hyperlink" Target="https://github.com/jhy/jsoup/blob/1657e8fd65889cd4a60052ed31f9cb245c02dfad/src/test/java/org/jsoup/nodes/PositionTest.java" TargetMode="External"/><Relationship Id="rId205" Type="http://schemas.openxmlformats.org/officeDocument/2006/relationships/hyperlink" Target="https://github.com/jhy/jsoup/blob/1e69577e358c75a85b769583f0cf860eedb18a5e/src/test/java/org/jsoup/helper/HttpConnectionTest.java" TargetMode="External"/><Relationship Id="rId206" Type="http://schemas.openxmlformats.org/officeDocument/2006/relationships/hyperlink" Target="https://github.com/jhy/jsoup/blob/2a4a9cf83dea46aff9fc97fc6da808948f5086e0/src/test/java/org/jsoup/select/SelectorTest.java" TargetMode="External"/><Relationship Id="rId207" Type="http://schemas.openxmlformats.org/officeDocument/2006/relationships/hyperlink" Target="https://github.com/jhy/jsoup/blob/2a4a9cf83dea46aff9fc97fc6da808948f5086e0/src/test/java/org/jsoup/select/QueryParserTest.java" TargetMode="External"/><Relationship Id="rId208" Type="http://schemas.openxmlformats.org/officeDocument/2006/relationships/hyperlink" Target="https://github.com/jhy/jsoup/blob/6ccd158754e21a749b2390ca27282a8dda7fb4f6/src/test/java/org/jsoup/helper/HttpConnectionTest.java" TargetMode="External"/><Relationship Id="rId209" Type="http://schemas.openxmlformats.org/officeDocument/2006/relationships/hyperlink" Target="https://github.com/jhy/jsoup/blob/9de27fa7cd823f6d26e33e48b36ef010c05f977c/src/test/java/org/jsoup/helper/HttpConnectionTest.java" TargetMode="External"/><Relationship Id="rId210" Type="http://schemas.openxmlformats.org/officeDocument/2006/relationships/hyperlink" Target="https://github.com/jhy/jsoup/blob/9de27fa7cd823f6d26e33e48b36ef010c05f977c/src/test/java/org/jsoup/integration/ConnectTest.java" TargetMode="External"/><Relationship Id="rId211" Type="http://schemas.openxmlformats.org/officeDocument/2006/relationships/hyperlink" Target="https://github.com/jhy/jsoup/blob/9de27fa7cd823f6d26e33e48b36ef010c05f977c/src/test/java/org/jsoup/integration/UrlConnectTest.java" TargetMode="External"/><Relationship Id="rId212" Type="http://schemas.openxmlformats.org/officeDocument/2006/relationships/hyperlink" Target="https://github.com/jhy/jsoup/blob/9de27fa7cd823f6d26e33e48b36ef010c05f977c/src/test/java/org/jsoup/integration/SessionTest.java" TargetMode="External"/><Relationship Id="rId213" Type="http://schemas.openxmlformats.org/officeDocument/2006/relationships/hyperlink" Target="https://github.com/jhy/jsoup/blob/9de27fa7cd823f6d26e33e48b36ef010c05f977c/src/test/java/org/jsoup/nodes/FormElementTest.java" TargetMode="External"/><Relationship Id="rId214" Type="http://schemas.openxmlformats.org/officeDocument/2006/relationships/hyperlink" Target="https://github.com/jhy/jsoup/blob/9de27fa7cd823f6d26e33e48b36ef010c05f977c/src/test/java/org/jsoup/integration/SessionIT.java" TargetMode="External"/><Relationship Id="rId215" Type="http://schemas.openxmlformats.org/officeDocument/2006/relationships/hyperlink" Target="https://github.com/jhy/jsoup/blob/9de27fa7cd823f6d26e33e48b36ef010c05f977c/src/test/java/org/jsoup/integration/ConnectIT.java" TargetMode="External"/><Relationship Id="rId216" Type="http://schemas.openxmlformats.org/officeDocument/2006/relationships/hyperlink" Target="https://github.com/jhy/jsoup/blob/9de27fa7cd823f6d26e33e48b36ef010c05f977c/src/test/java/org/jsoup/nodes/BuildEntities.java" TargetMode="External"/><Relationship Id="rId217" Type="http://schemas.openxmlformats.org/officeDocument/2006/relationships/hyperlink" Target="https://github.com/jhy/jsoup/blob/c93ea51dabfbfd34d6b979f5cc876ed3b5d093a4/src/test/java/org/jsoup/parser/HtmlParserTest.java" TargetMode="External"/><Relationship Id="rId218" Type="http://schemas.openxmlformats.org/officeDocument/2006/relationships/hyperlink" Target="https://github.com/jhy/jsoup/blob/c93ea51dabfbfd34d6b979f5cc876ed3b5d093a4/src/test/java/org/jsoup/parser/TokenQueueTest.java" TargetMode="External"/><Relationship Id="rId219" Type="http://schemas.openxmlformats.org/officeDocument/2006/relationships/hyperlink" Target="https://github.com/mthmulders/mcs/blob/7c8b5bc9c7f26865d6785e06051e73317c06af2c/src/test/java/it/mulders/mcs/search/FormatTypeTest.java" TargetMode="External"/><Relationship Id="rId220" Type="http://schemas.openxmlformats.org/officeDocument/2006/relationships/hyperlink" Target="https://github.com/mthmulders/mcs/blob/7c8b5bc9c7f26865d6785e06051e73317c06af2c/src/test/java/it/mulders/mcs/search/printer/CoordinatePrinterTest.java" TargetMode="External"/><Relationship Id="rId221" Type="http://schemas.openxmlformats.org/officeDocument/2006/relationships/hyperlink" Target="https://github.com/mthmulders/mcs/blob/7c8b5bc9c7f26865d6785e06051e73317c06af2c/src/test/java/it/mulders/mcs/search/FormatTypeTest.java" TargetMode="External"/><Relationship Id="rId222" Type="http://schemas.openxmlformats.org/officeDocument/2006/relationships/hyperlink" Target="https://github.com/mthmulders/mcs/blob/7c8b5bc9c7f26865d6785e06051e73317c06af2c/src/test/java/it/mulders/mcs/search/printer/CoordinatePrinterTest.java" TargetMode="External"/><Relationship Id="rId223" Type="http://schemas.openxmlformats.org/officeDocument/2006/relationships/hyperlink" Target="https://github.com/mthmulders/mcs/blob/7c8b5bc9c7f26865d6785e06051e73317c06af2c/src/test/java/it/mulders/mcs/search/FormatTypeTest.java" TargetMode="External"/><Relationship Id="rId224" Type="http://schemas.openxmlformats.org/officeDocument/2006/relationships/hyperlink" Target="https://github.com/mthmulders/mcs/blob/7c8b5bc9c7f26865d6785e06051e73317c06af2c/src/test/java/it/mulders/mcs/search/printer/CoordinatePrinterTest.java" TargetMode="External"/><Relationship Id="rId225" Type="http://schemas.openxmlformats.org/officeDocument/2006/relationships/hyperlink" Target="https://github.com/mthmulders/mcs/blob/7c8b5bc9c7f26865d6785e06051e73317c06af2c/src/test/java/it/mulders/mcs/search/FormatTypeTest.java" TargetMode="External"/><Relationship Id="rId226" Type="http://schemas.openxmlformats.org/officeDocument/2006/relationships/hyperlink" Target="https://github.com/mthmulders/mcs/blob/7c8b5bc9c7f26865d6785e06051e73317c06af2c/src/test/java/it/mulders/mcs/search/printer/CoordinatePrinterTest.java" TargetMode="External"/><Relationship Id="rId227" Type="http://schemas.openxmlformats.org/officeDocument/2006/relationships/hyperlink" Target="https://github.com/mthmulders/mcs/blob/7c8b5bc9c7f26865d6785e06051e73317c06af2c/src/test/java/it/mulders/mcs/search/FormatTypeTest.java" TargetMode="External"/><Relationship Id="rId228" Type="http://schemas.openxmlformats.org/officeDocument/2006/relationships/hyperlink" Target="https://github.com/mthmulders/mcs/blob/7c8b5bc9c7f26865d6785e06051e73317c06af2c/src/test/java/it/mulders/mcs/search/printer/CoordinatePrinterTest.java" TargetMode="External"/><Relationship Id="rId229" Type="http://schemas.openxmlformats.org/officeDocument/2006/relationships/hyperlink" Target="https://github.com/mthmulders/mcs/blob/7c8b5bc9c7f26865d6785e06051e73317c06af2c/src/test/java/it/mulders/mcs/search/FormatTypeTest.java" TargetMode="External"/><Relationship Id="rId230" Type="http://schemas.openxmlformats.org/officeDocument/2006/relationships/hyperlink" Target="https://github.com/mthmulders/mcs/blob/7c8b5bc9c7f26865d6785e06051e73317c06af2c/src/test/java/it/mulders/mcs/search/printer/CoordinatePrinterTest.java" TargetMode="External"/><Relationship Id="rId231" Type="http://schemas.openxmlformats.org/officeDocument/2006/relationships/hyperlink" Target="https://github.com/mthmulders/mcs/blob/7c8b5bc9c7f26865d6785e06051e73317c06af2c/src/test/java/it/mulders/mcs/search/FormatTypeTest.java" TargetMode="External"/><Relationship Id="rId232" Type="http://schemas.openxmlformats.org/officeDocument/2006/relationships/hyperlink" Target="https://github.com/mthmulders/mcs/blob/7c8b5bc9c7f26865d6785e06051e73317c06af2c/src/test/java/it/mulders/mcs/search/printer/CoordinatePrinterTest.java" TargetMode="External"/><Relationship Id="rId233" Type="http://schemas.openxmlformats.org/officeDocument/2006/relationships/hyperlink" Target="https://github.com/mthmulders/mcs/blob/7c8b5bc9c7f26865d6785e06051e73317c06af2c/src/test/java/it/mulders/mcs/search/FormatTypeTest.java" TargetMode="External"/><Relationship Id="rId234" Type="http://schemas.openxmlformats.org/officeDocument/2006/relationships/hyperlink" Target="https://github.com/mthmulders/mcs/blob/7c8b5bc9c7f26865d6785e06051e73317c06af2c/src/test/java/it/mulders/mcs/search/printer/CoordinatePrinterTest.java" TargetMode="External"/><Relationship Id="rId235" Type="http://schemas.openxmlformats.org/officeDocument/2006/relationships/hyperlink" Target="https://github.com/mthmulders/mcs/blob/7c8b5bc9c7f26865d6785e06051e73317c06af2c/src/test/java/it/mulders/mcs/search/FormatTypeTest.java" TargetMode="External"/><Relationship Id="rId236" Type="http://schemas.openxmlformats.org/officeDocument/2006/relationships/hyperlink" Target="https://github.com/mthmulders/mcs/blob/7c8b5bc9c7f26865d6785e06051e73317c06af2c/src/test/java/it/mulders/mcs/search/printer/CoordinatePrinterTest.java" TargetMode="External"/><Relationship Id="rId237" Type="http://schemas.openxmlformats.org/officeDocument/2006/relationships/hyperlink" Target="https://github.com/traccar/traccar/blob/b4934e05aab6c875cd1c2d412102e041a79b9210/src/test/java/org/traccar/handler/ComputedAttributesTest.java" TargetMode="External"/><Relationship Id="rId238"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16.15" hidden="false" customHeight="false" outlineLevel="0" collapsed="false">
      <c r="A1" s="1" t="s">
        <v>0</v>
      </c>
    </row>
    <row r="3" customFormat="false" ht="30" hidden="false" customHeight="true" outlineLevel="0" collapsed="false">
      <c r="A3" s="2" t="s">
        <v>1</v>
      </c>
      <c r="B3" s="3" t="s">
        <v>2</v>
      </c>
    </row>
    <row r="4" customFormat="false" ht="75" hidden="false" customHeight="true" outlineLevel="0" collapsed="false">
      <c r="A4" s="2" t="s">
        <v>3</v>
      </c>
      <c r="B4" s="3" t="s">
        <v>4</v>
      </c>
    </row>
    <row r="5" customFormat="false" ht="45" hidden="false" customHeight="true" outlineLevel="0" collapsed="false">
      <c r="A5" s="2" t="s">
        <v>5</v>
      </c>
      <c r="B5" s="3" t="s">
        <v>6</v>
      </c>
    </row>
    <row r="6" customFormat="false" ht="30" hidden="false" customHeight="true" outlineLevel="0" collapsed="false">
      <c r="A6" s="2" t="s">
        <v>7</v>
      </c>
      <c r="B6" s="3" t="s">
        <v>8</v>
      </c>
    </row>
    <row r="7" customFormat="false" ht="30" hidden="false" customHeight="true" outlineLevel="0" collapsed="false">
      <c r="A7" s="2" t="s">
        <v>9</v>
      </c>
      <c r="B7" s="3" t="s">
        <v>10</v>
      </c>
    </row>
    <row r="8" customFormat="false" ht="60" hidden="false" customHeight="true" outlineLevel="0" collapsed="false">
      <c r="A8" s="2" t="s">
        <v>11</v>
      </c>
      <c r="B8" s="3" t="s">
        <v>12</v>
      </c>
    </row>
    <row r="9" customFormat="false" ht="30" hidden="false" customHeight="true" outlineLevel="0" collapsed="false">
      <c r="A9" s="2" t="s">
        <v>13</v>
      </c>
      <c r="B9" s="3" t="s">
        <v>14</v>
      </c>
    </row>
    <row r="10" customFormat="false" ht="30" hidden="false" customHeight="true" outlineLevel="0" collapsed="false">
      <c r="A10" s="2" t="s">
        <v>15</v>
      </c>
      <c r="B10" s="3" t="s">
        <v>16</v>
      </c>
    </row>
    <row r="11" customFormat="false" ht="45" hidden="false" customHeight="true" outlineLevel="0" collapsed="false">
      <c r="A11" s="2" t="s">
        <v>17</v>
      </c>
      <c r="B11" s="3" t="s">
        <v>18</v>
      </c>
    </row>
    <row r="12" customFormat="false" ht="30" hidden="false" customHeight="true" outlineLevel="0" collapsed="false">
      <c r="A12" s="2" t="s">
        <v>19</v>
      </c>
      <c r="B12" s="3" t="s">
        <v>20</v>
      </c>
    </row>
    <row r="13" customFormat="false" ht="75" hidden="false" customHeight="true" outlineLevel="0" collapsed="false">
      <c r="A13" s="2" t="s">
        <v>21</v>
      </c>
      <c r="B13" s="3" t="s">
        <v>22</v>
      </c>
    </row>
    <row r="14" customFormat="false" ht="30" hidden="false" customHeight="true" outlineLevel="0" collapsed="false">
      <c r="A14" s="2" t="s">
        <v>23</v>
      </c>
      <c r="B14"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32"/>
    <col collapsed="false" customWidth="true" hidden="false" outlineLevel="0" max="4" min="4" style="0" width="40"/>
    <col collapsed="false" customWidth="true" hidden="false" outlineLevel="0" max="5" min="5" style="0" width="62"/>
    <col collapsed="false" customWidth="true" hidden="false" outlineLevel="0" max="6" min="6" style="0" width="50"/>
    <col collapsed="false" customWidth="true" hidden="false" outlineLevel="0" max="7" min="7" style="0" width="6"/>
    <col collapsed="false" customWidth="true" hidden="false" outlineLevel="0" max="9" min="8" style="0" width="9"/>
    <col collapsed="false" customWidth="true" hidden="false" outlineLevel="0" max="10" min="10" style="0" width="60"/>
    <col collapsed="false" customWidth="true" hidden="false" outlineLevel="0" max="11" min="11" style="0" width="13"/>
    <col collapsed="false" customWidth="true" hidden="false" outlineLevel="0" max="12" min="12" style="0" width="12"/>
    <col collapsed="false" customWidth="true" hidden="false" outlineLevel="0" max="13" min="13" style="0" width="40"/>
    <col collapsed="false" customWidth="true" hidden="false" outlineLevel="0" max="14" min="14" style="0" width="60"/>
    <col collapsed="false" customWidth="true" hidden="false" outlineLevel="0" max="15" min="15" style="0" width="40"/>
    <col collapsed="false" customWidth="true" hidden="false" outlineLevel="0" max="17" min="16" style="0" width="14"/>
    <col collapsed="false" customWidth="true" hidden="false" outlineLevel="0" max="18" min="18" style="0" width="13"/>
    <col collapsed="false" customWidth="true" hidden="false" outlineLevel="0" max="19" min="19" style="0" width="30"/>
  </cols>
  <sheetData>
    <row r="1" customFormat="false" ht="45" hidden="false" customHeight="true" outlineLevel="0" collapsed="false">
      <c r="A1" s="4" t="s">
        <v>25</v>
      </c>
      <c r="B1" s="4" t="s">
        <v>19</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13</v>
      </c>
      <c r="R1" s="4" t="s">
        <v>40</v>
      </c>
      <c r="S1" s="4" t="s">
        <v>41</v>
      </c>
    </row>
    <row r="2" customFormat="false" ht="15" hidden="false" customHeight="false" outlineLevel="0" collapsed="false">
      <c r="A2" s="5" t="n">
        <v>1</v>
      </c>
      <c r="B2" s="5" t="s">
        <v>42</v>
      </c>
      <c r="C2" s="5" t="s">
        <v>43</v>
      </c>
      <c r="D2" s="5" t="s">
        <v>44</v>
      </c>
      <c r="E2" s="5" t="s">
        <v>45</v>
      </c>
      <c r="F2" s="5" t="s">
        <v>46</v>
      </c>
      <c r="G2" s="6" t="s">
        <v>47</v>
      </c>
      <c r="H2" s="5" t="n">
        <v>32</v>
      </c>
      <c r="I2" s="5" t="n">
        <f aca="false">COUNTIF('Ứng viên'!$B$2:$B$238,A2)</f>
        <v>3</v>
      </c>
      <c r="J2" s="5" t="s">
        <v>48</v>
      </c>
      <c r="K2" s="7" t="s">
        <v>49</v>
      </c>
      <c r="L2" s="7" t="n">
        <v>1</v>
      </c>
      <c r="M2" s="7"/>
      <c r="N2" s="8" t="str">
        <f aca="false">IF(K2&lt;&gt;"PAIRED","",IF(M2&lt;&gt;"",M2,IF(L2="","",IFERROR(INDEX('Ứng viên'!$D$2:$D$238,MATCH(A2&amp;"-"&amp;L2,'Ứng viên'!$A$2:$A$238,0)),"⚠ số ứng viên không hợp lệ"))))</f>
        <v>src/test/java/com/whatsapp/api/impl/WhatsappBusinessCloudApiTest.java</v>
      </c>
      <c r="O2" s="7" t="s">
        <v>50</v>
      </c>
      <c r="P2" s="7" t="s">
        <v>51</v>
      </c>
      <c r="Q2" s="7"/>
      <c r="R2" s="7"/>
      <c r="S2" s="7"/>
    </row>
    <row r="3" customFormat="false" ht="15" hidden="false" customHeight="false" outlineLevel="0" collapsed="false">
      <c r="A3" s="5" t="n">
        <v>2</v>
      </c>
      <c r="B3" s="5" t="s">
        <v>42</v>
      </c>
      <c r="C3" s="5" t="s">
        <v>43</v>
      </c>
      <c r="D3" s="5" t="s">
        <v>52</v>
      </c>
      <c r="E3" s="5" t="s">
        <v>53</v>
      </c>
      <c r="F3" s="5" t="s">
        <v>54</v>
      </c>
      <c r="G3" s="6" t="s">
        <v>47</v>
      </c>
      <c r="H3" s="5" t="n">
        <v>48</v>
      </c>
      <c r="I3" s="5" t="n">
        <f aca="false">COUNTIF('Ứng viên'!$B$2:$B$238,A3)</f>
        <v>4</v>
      </c>
      <c r="J3" s="5" t="s">
        <v>55</v>
      </c>
      <c r="K3" s="7" t="s">
        <v>49</v>
      </c>
      <c r="L3" s="7" t="n">
        <v>1</v>
      </c>
      <c r="M3" s="7"/>
      <c r="N3" s="8" t="str">
        <f aca="false">IF(K3&lt;&gt;"PAIRED","",IF(M3&lt;&gt;"",M3,IF(L3="","",IFERROR(INDEX('Ứng viên'!$D$2:$D$238,MATCH(A3&amp;"-"&amp;L3,'Ứng viên'!$A$2:$A$238,0)),"⚠ số ứng viên không hợp lệ"))))</f>
        <v>src/test/java/com/whatsapp/api/impl/WhatsappBusinessManagementApiTest.java</v>
      </c>
      <c r="O3" s="7" t="s">
        <v>56</v>
      </c>
      <c r="P3" s="7" t="s">
        <v>51</v>
      </c>
      <c r="Q3" s="7"/>
      <c r="R3" s="7"/>
      <c r="S3" s="7"/>
    </row>
    <row r="4" customFormat="false" ht="15" hidden="false" customHeight="false" outlineLevel="0" collapsed="false">
      <c r="A4" s="5" t="n">
        <v>3</v>
      </c>
      <c r="B4" s="5" t="s">
        <v>42</v>
      </c>
      <c r="C4" s="5" t="s">
        <v>43</v>
      </c>
      <c r="D4" s="5" t="s">
        <v>52</v>
      </c>
      <c r="E4" s="5" t="s">
        <v>57</v>
      </c>
      <c r="F4" s="5" t="s">
        <v>58</v>
      </c>
      <c r="G4" s="6" t="s">
        <v>47</v>
      </c>
      <c r="H4" s="5" t="n">
        <v>48</v>
      </c>
      <c r="I4" s="5" t="n">
        <f aca="false">COUNTIF('Ứng viên'!$B$2:$B$238,A4)</f>
        <v>2</v>
      </c>
      <c r="J4" s="5" t="s">
        <v>55</v>
      </c>
      <c r="K4" s="7" t="s">
        <v>49</v>
      </c>
      <c r="L4" s="7" t="n">
        <v>1</v>
      </c>
      <c r="M4" s="7"/>
      <c r="N4" s="8" t="str">
        <f aca="false">IF(K4&lt;&gt;"PAIRED","",IF(M4&lt;&gt;"",M4,IF(L4="","",IFERROR(INDEX('Ứng viên'!$D$2:$D$238,MATCH(A4&amp;"-"&amp;L4,'Ứng viên'!$A$2:$A$238,0)),"⚠ số ứng viên không hợp lệ"))))</f>
        <v>src/test/java/com/whatsapp/api/impl/WhatsappBusinessManagementApiTest.java</v>
      </c>
      <c r="O4" s="7" t="s">
        <v>59</v>
      </c>
      <c r="P4" s="7" t="s">
        <v>51</v>
      </c>
      <c r="Q4" s="7"/>
      <c r="R4" s="7"/>
      <c r="S4" s="7"/>
    </row>
    <row r="5" customFormat="false" ht="15" hidden="false" customHeight="false" outlineLevel="0" collapsed="false">
      <c r="A5" s="5" t="n">
        <v>4</v>
      </c>
      <c r="B5" s="5" t="s">
        <v>42</v>
      </c>
      <c r="C5" s="5" t="s">
        <v>60</v>
      </c>
      <c r="D5" s="5" t="s">
        <v>61</v>
      </c>
      <c r="E5" s="5" t="s">
        <v>62</v>
      </c>
      <c r="F5" s="5" t="s">
        <v>63</v>
      </c>
      <c r="G5" s="6" t="s">
        <v>47</v>
      </c>
      <c r="H5" s="5" t="n">
        <v>1</v>
      </c>
      <c r="I5" s="5" t="n">
        <f aca="false">COUNTIF('Ứng viên'!$B$2:$B$238,A5)</f>
        <v>1</v>
      </c>
      <c r="J5" s="5" t="s">
        <v>64</v>
      </c>
      <c r="K5" s="7" t="s">
        <v>65</v>
      </c>
      <c r="L5" s="7"/>
      <c r="M5" s="7"/>
      <c r="N5" s="8" t="str">
        <f aca="false">IF(K5&lt;&gt;"PAIRED","",IF(M5&lt;&gt;"",M5,IF(L5="","",IFERROR(INDEX('Ứng viên'!$D$2:$D$238,MATCH(A5&amp;"-"&amp;L5,'Ứng viên'!$A$2:$A$238,0)),"⚠ số ứng viên không hợp lệ"))))</f>
        <v/>
      </c>
      <c r="O5" s="7" t="s">
        <v>66</v>
      </c>
      <c r="P5" s="7" t="s">
        <v>51</v>
      </c>
      <c r="Q5" s="7"/>
      <c r="R5" s="7"/>
      <c r="S5" s="7"/>
    </row>
    <row r="6" customFormat="false" ht="15" hidden="false" customHeight="false" outlineLevel="0" collapsed="false">
      <c r="A6" s="5" t="n">
        <v>5</v>
      </c>
      <c r="B6" s="5" t="s">
        <v>42</v>
      </c>
      <c r="C6" s="5" t="s">
        <v>60</v>
      </c>
      <c r="D6" s="5" t="s">
        <v>61</v>
      </c>
      <c r="E6" s="5" t="s">
        <v>67</v>
      </c>
      <c r="F6" s="5" t="s">
        <v>68</v>
      </c>
      <c r="G6" s="6" t="s">
        <v>47</v>
      </c>
      <c r="H6" s="5" t="n">
        <v>1</v>
      </c>
      <c r="I6" s="5" t="n">
        <f aca="false">COUNTIF('Ứng viên'!$B$2:$B$238,A6)</f>
        <v>1</v>
      </c>
      <c r="J6" s="5" t="s">
        <v>64</v>
      </c>
      <c r="K6" s="7" t="s">
        <v>65</v>
      </c>
      <c r="L6" s="7"/>
      <c r="M6" s="7"/>
      <c r="N6" s="8" t="str">
        <f aca="false">IF(K6&lt;&gt;"PAIRED","",IF(M6&lt;&gt;"",M6,IF(L6="","",IFERROR(INDEX('Ứng viên'!$D$2:$D$238,MATCH(A6&amp;"-"&amp;L6,'Ứng viên'!$A$2:$A$238,0)),"⚠ số ứng viên không hợp lệ"))))</f>
        <v/>
      </c>
      <c r="O6" s="7" t="s">
        <v>69</v>
      </c>
      <c r="P6" s="7" t="s">
        <v>51</v>
      </c>
      <c r="Q6" s="7"/>
      <c r="R6" s="7"/>
      <c r="S6" s="7"/>
    </row>
    <row r="7" customFormat="false" ht="15" hidden="false" customHeight="false" outlineLevel="0" collapsed="false">
      <c r="A7" s="5" t="n">
        <v>6</v>
      </c>
      <c r="B7" s="5" t="s">
        <v>42</v>
      </c>
      <c r="C7" s="5" t="s">
        <v>60</v>
      </c>
      <c r="D7" s="5" t="s">
        <v>70</v>
      </c>
      <c r="E7" s="5" t="s">
        <v>67</v>
      </c>
      <c r="F7" s="5" t="s">
        <v>68</v>
      </c>
      <c r="G7" s="6" t="s">
        <v>47</v>
      </c>
      <c r="H7" s="5" t="n">
        <v>2</v>
      </c>
      <c r="I7" s="5" t="n">
        <f aca="false">COUNTIF('Ứng viên'!$B$2:$B$238,A7)</f>
        <v>1</v>
      </c>
      <c r="J7" s="5" t="s">
        <v>64</v>
      </c>
      <c r="K7" s="7" t="s">
        <v>65</v>
      </c>
      <c r="L7" s="7"/>
      <c r="M7" s="7"/>
      <c r="N7" s="8" t="str">
        <f aca="false">IF(K7&lt;&gt;"PAIRED","",IF(M7&lt;&gt;"",M7,IF(L7="","",IFERROR(INDEX('Ứng viên'!$D$2:$D$238,MATCH(A7&amp;"-"&amp;L7,'Ứng viên'!$A$2:$A$238,0)),"⚠ số ứng viên không hợp lệ"))))</f>
        <v/>
      </c>
      <c r="O7" s="7" t="s">
        <v>69</v>
      </c>
      <c r="P7" s="7" t="s">
        <v>51</v>
      </c>
      <c r="Q7" s="7"/>
      <c r="R7" s="7"/>
      <c r="S7" s="7"/>
    </row>
    <row r="8" customFormat="false" ht="15" hidden="false" customHeight="false" outlineLevel="0" collapsed="false">
      <c r="A8" s="5" t="n">
        <v>7</v>
      </c>
      <c r="B8" s="5" t="s">
        <v>42</v>
      </c>
      <c r="C8" s="5" t="s">
        <v>71</v>
      </c>
      <c r="D8" s="5" t="s">
        <v>72</v>
      </c>
      <c r="E8" s="5" t="s">
        <v>73</v>
      </c>
      <c r="F8" s="5" t="s">
        <v>74</v>
      </c>
      <c r="G8" s="6" t="s">
        <v>47</v>
      </c>
      <c r="H8" s="5" t="n">
        <v>72</v>
      </c>
      <c r="I8" s="5" t="n">
        <f aca="false">COUNTIF('Ứng viên'!$B$2:$B$238,A8)</f>
        <v>0</v>
      </c>
      <c r="J8" s="5" t="s">
        <v>75</v>
      </c>
      <c r="K8" s="7" t="s">
        <v>65</v>
      </c>
      <c r="L8" s="7"/>
      <c r="M8" s="7"/>
      <c r="N8" s="8" t="str">
        <f aca="false">IF(K8&lt;&gt;"PAIRED","",IF(M8&lt;&gt;"",M8,IF(L8="","",IFERROR(INDEX('Ứng viên'!$D$2:$D$238,MATCH(A8&amp;"-"&amp;L8,'Ứng viên'!$A$2:$A$238,0)),"⚠ số ứng viên không hợp lệ"))))</f>
        <v/>
      </c>
      <c r="O8" s="7" t="s">
        <v>76</v>
      </c>
      <c r="P8" s="7" t="s">
        <v>51</v>
      </c>
      <c r="Q8" s="7"/>
      <c r="R8" s="7"/>
      <c r="S8" s="7"/>
    </row>
    <row r="9" customFormat="false" ht="15" hidden="false" customHeight="false" outlineLevel="0" collapsed="false">
      <c r="A9" s="5" t="n">
        <v>8</v>
      </c>
      <c r="B9" s="5" t="s">
        <v>42</v>
      </c>
      <c r="C9" s="5" t="s">
        <v>77</v>
      </c>
      <c r="D9" s="5" t="s">
        <v>78</v>
      </c>
      <c r="E9" s="5" t="s">
        <v>79</v>
      </c>
      <c r="F9" s="5" t="s">
        <v>80</v>
      </c>
      <c r="G9" s="6" t="s">
        <v>47</v>
      </c>
      <c r="H9" s="5" t="n">
        <v>11</v>
      </c>
      <c r="I9" s="5" t="n">
        <f aca="false">COUNTIF('Ứng viên'!$B$2:$B$238,A9)</f>
        <v>1</v>
      </c>
      <c r="J9" s="5" t="s">
        <v>81</v>
      </c>
      <c r="K9" s="7" t="s">
        <v>49</v>
      </c>
      <c r="L9" s="7" t="n">
        <v>1</v>
      </c>
      <c r="M9" s="7"/>
      <c r="N9" s="8" t="str">
        <f aca="false">IF(K9&lt;&gt;"PAIRED","",IF(M9&lt;&gt;"",M9,IF(L9="","",IFERROR(INDEX('Ứng viên'!$D$2:$D$238,MATCH(A9&amp;"-"&amp;L9,'Ứng viên'!$A$2:$A$238,0)),"⚠ số ứng viên không hợp lệ"))))</f>
        <v>src/test/java/org/byteskript/skript/test/SyntaxTreeTest.java</v>
      </c>
      <c r="O9" s="7" t="s">
        <v>82</v>
      </c>
      <c r="P9" s="7" t="s">
        <v>51</v>
      </c>
      <c r="Q9" s="7"/>
      <c r="R9" s="7"/>
      <c r="S9" s="7"/>
    </row>
    <row r="10" customFormat="false" ht="15" hidden="false" customHeight="false" outlineLevel="0" collapsed="false">
      <c r="A10" s="5" t="n">
        <v>9</v>
      </c>
      <c r="B10" s="5" t="s">
        <v>42</v>
      </c>
      <c r="C10" s="5" t="s">
        <v>83</v>
      </c>
      <c r="D10" s="5" t="s">
        <v>84</v>
      </c>
      <c r="E10" s="5" t="s">
        <v>85</v>
      </c>
      <c r="F10" s="5" t="s">
        <v>86</v>
      </c>
      <c r="G10" s="6" t="s">
        <v>47</v>
      </c>
      <c r="H10" s="5" t="n">
        <v>8</v>
      </c>
      <c r="I10" s="5" t="n">
        <f aca="false">COUNTIF('Ứng viên'!$B$2:$B$238,A10)</f>
        <v>1</v>
      </c>
      <c r="J10" s="5" t="s">
        <v>87</v>
      </c>
      <c r="K10" s="7" t="s">
        <v>65</v>
      </c>
      <c r="L10" s="7"/>
      <c r="M10" s="7"/>
      <c r="N10" s="8" t="str">
        <f aca="false">IF(K10&lt;&gt;"PAIRED","",IF(M10&lt;&gt;"",M10,IF(L10="","",IFERROR(INDEX('Ứng viên'!$D$2:$D$238,MATCH(A10&amp;"-"&amp;L10,'Ứng viên'!$A$2:$A$238,0)),"⚠ số ứng viên không hợp lệ"))))</f>
        <v/>
      </c>
      <c r="O10" s="7" t="s">
        <v>88</v>
      </c>
      <c r="P10" s="7" t="s">
        <v>51</v>
      </c>
      <c r="Q10" s="7"/>
      <c r="R10" s="7"/>
      <c r="S10" s="7"/>
    </row>
    <row r="11" customFormat="false" ht="15" hidden="false" customHeight="false" outlineLevel="0" collapsed="false">
      <c r="A11" s="5" t="n">
        <v>10</v>
      </c>
      <c r="B11" s="5" t="s">
        <v>42</v>
      </c>
      <c r="C11" s="5" t="s">
        <v>89</v>
      </c>
      <c r="D11" s="5" t="s">
        <v>90</v>
      </c>
      <c r="E11" s="5" t="s">
        <v>91</v>
      </c>
      <c r="F11" s="5" t="s">
        <v>92</v>
      </c>
      <c r="G11" s="6" t="s">
        <v>47</v>
      </c>
      <c r="H11" s="5" t="n">
        <v>1</v>
      </c>
      <c r="I11" s="5" t="n">
        <f aca="false">COUNTIF('Ứng viên'!$B$2:$B$238,A11)</f>
        <v>0</v>
      </c>
      <c r="J11" s="5" t="s">
        <v>75</v>
      </c>
      <c r="K11" s="7" t="s">
        <v>65</v>
      </c>
      <c r="L11" s="7"/>
      <c r="M11" s="7"/>
      <c r="N11" s="8" t="str">
        <f aca="false">IF(K11&lt;&gt;"PAIRED","",IF(M11&lt;&gt;"",M11,IF(L11="","",IFERROR(INDEX('Ứng viên'!$D$2:$D$238,MATCH(A11&amp;"-"&amp;L11,'Ứng viên'!$A$2:$A$238,0)),"⚠ số ứng viên không hợp lệ"))))</f>
        <v/>
      </c>
      <c r="O11" s="7" t="s">
        <v>93</v>
      </c>
      <c r="P11" s="7" t="s">
        <v>51</v>
      </c>
      <c r="Q11" s="7"/>
      <c r="R11" s="7"/>
      <c r="S11" s="7"/>
    </row>
    <row r="12" customFormat="false" ht="15" hidden="false" customHeight="false" outlineLevel="0" collapsed="false">
      <c r="A12" s="5" t="n">
        <v>11</v>
      </c>
      <c r="B12" s="5" t="s">
        <v>42</v>
      </c>
      <c r="C12" s="5" t="s">
        <v>89</v>
      </c>
      <c r="D12" s="5" t="s">
        <v>94</v>
      </c>
      <c r="E12" s="5" t="s">
        <v>91</v>
      </c>
      <c r="F12" s="5" t="s">
        <v>92</v>
      </c>
      <c r="G12" s="6" t="s">
        <v>47</v>
      </c>
      <c r="H12" s="5" t="n">
        <v>1</v>
      </c>
      <c r="I12" s="5" t="n">
        <f aca="false">COUNTIF('Ứng viên'!$B$2:$B$238,A12)</f>
        <v>0</v>
      </c>
      <c r="J12" s="5" t="s">
        <v>75</v>
      </c>
      <c r="K12" s="7" t="s">
        <v>65</v>
      </c>
      <c r="L12" s="7"/>
      <c r="M12" s="7"/>
      <c r="N12" s="8" t="str">
        <f aca="false">IF(K12&lt;&gt;"PAIRED","",IF(M12&lt;&gt;"",M12,IF(L12="","",IFERROR(INDEX('Ứng viên'!$D$2:$D$238,MATCH(A12&amp;"-"&amp;L12,'Ứng viên'!$A$2:$A$238,0)),"⚠ số ứng viên không hợp lệ"))))</f>
        <v/>
      </c>
      <c r="O12" s="7" t="s">
        <v>93</v>
      </c>
      <c r="P12" s="7" t="s">
        <v>51</v>
      </c>
      <c r="Q12" s="7"/>
      <c r="R12" s="7"/>
      <c r="S12" s="7"/>
    </row>
    <row r="13" customFormat="false" ht="15" hidden="false" customHeight="false" outlineLevel="0" collapsed="false">
      <c r="A13" s="5" t="n">
        <v>12</v>
      </c>
      <c r="B13" s="5" t="s">
        <v>42</v>
      </c>
      <c r="C13" s="5" t="s">
        <v>95</v>
      </c>
      <c r="D13" s="5" t="s">
        <v>96</v>
      </c>
      <c r="E13" s="5" t="s">
        <v>97</v>
      </c>
      <c r="F13" s="5" t="s">
        <v>98</v>
      </c>
      <c r="G13" s="6" t="s">
        <v>47</v>
      </c>
      <c r="H13" s="5" t="n">
        <v>137</v>
      </c>
      <c r="I13" s="5" t="n">
        <f aca="false">COUNTIF('Ứng viên'!$B$2:$B$238,A13)</f>
        <v>0</v>
      </c>
      <c r="J13" s="5" t="s">
        <v>75</v>
      </c>
      <c r="K13" s="7" t="s">
        <v>65</v>
      </c>
      <c r="L13" s="7"/>
      <c r="M13" s="7"/>
      <c r="N13" s="8" t="str">
        <f aca="false">IF(K13&lt;&gt;"PAIRED","",IF(M13&lt;&gt;"",M13,IF(L13="","",IFERROR(INDEX('Ứng viên'!$D$2:$D$238,MATCH(A13&amp;"-"&amp;L13,'Ứng viên'!$A$2:$A$238,0)),"⚠ số ứng viên không hợp lệ"))))</f>
        <v/>
      </c>
      <c r="O13" s="7" t="s">
        <v>99</v>
      </c>
      <c r="P13" s="7" t="s">
        <v>51</v>
      </c>
      <c r="Q13" s="7"/>
      <c r="R13" s="7"/>
      <c r="S13" s="7"/>
    </row>
    <row r="14" customFormat="false" ht="15" hidden="false" customHeight="false" outlineLevel="0" collapsed="false">
      <c r="A14" s="5" t="n">
        <v>13</v>
      </c>
      <c r="B14" s="5" t="s">
        <v>42</v>
      </c>
      <c r="C14" s="5" t="s">
        <v>100</v>
      </c>
      <c r="D14" s="5" t="s">
        <v>101</v>
      </c>
      <c r="E14" s="5" t="s">
        <v>102</v>
      </c>
      <c r="F14" s="5" t="s">
        <v>103</v>
      </c>
      <c r="G14" s="6" t="s">
        <v>47</v>
      </c>
      <c r="H14" s="5" t="n">
        <v>72</v>
      </c>
      <c r="I14" s="5" t="n">
        <f aca="false">COUNTIF('Ứng viên'!$B$2:$B$238,A14)</f>
        <v>6</v>
      </c>
      <c r="J14" s="5" t="s">
        <v>104</v>
      </c>
      <c r="K14" s="7" t="s">
        <v>49</v>
      </c>
      <c r="L14" s="7" t="n">
        <v>1</v>
      </c>
      <c r="M14" s="7"/>
      <c r="N14" s="8" t="str">
        <f aca="false">IF(K14&lt;&gt;"PAIRED","",IF(M14&lt;&gt;"",M14,IF(L14="","",IFERROR(INDEX('Ứng viên'!$D$2:$D$238,MATCH(A14&amp;"-"&amp;L14,'Ứng viên'!$A$2:$A$238,0)),"⚠ số ứng viên không hợp lệ"))))</f>
        <v>src/test/java/bsh/InterpreterConcurrencyTest.java</v>
      </c>
      <c r="O14" s="7" t="s">
        <v>105</v>
      </c>
      <c r="P14" s="7" t="s">
        <v>51</v>
      </c>
      <c r="Q14" s="7"/>
      <c r="R14" s="7"/>
      <c r="S14" s="7"/>
    </row>
    <row r="15" customFormat="false" ht="15" hidden="false" customHeight="false" outlineLevel="0" collapsed="false">
      <c r="A15" s="5" t="n">
        <v>14</v>
      </c>
      <c r="B15" s="5" t="s">
        <v>42</v>
      </c>
      <c r="C15" s="5" t="s">
        <v>100</v>
      </c>
      <c r="D15" s="5" t="s">
        <v>106</v>
      </c>
      <c r="E15" s="5" t="s">
        <v>107</v>
      </c>
      <c r="F15" s="5" t="s">
        <v>108</v>
      </c>
      <c r="G15" s="6" t="s">
        <v>47</v>
      </c>
      <c r="H15" s="5" t="n">
        <v>72</v>
      </c>
      <c r="I15" s="5" t="n">
        <f aca="false">COUNTIF('Ứng viên'!$B$2:$B$238,A15)</f>
        <v>0</v>
      </c>
      <c r="J15" s="5" t="s">
        <v>75</v>
      </c>
      <c r="K15" s="7" t="s">
        <v>65</v>
      </c>
      <c r="L15" s="7"/>
      <c r="M15" s="7"/>
      <c r="N15" s="8" t="str">
        <f aca="false">IF(K15&lt;&gt;"PAIRED","",IF(M15&lt;&gt;"",M15,IF(L15="","",IFERROR(INDEX('Ứng viên'!$D$2:$D$238,MATCH(A15&amp;"-"&amp;L15,'Ứng viên'!$A$2:$A$238,0)),"⚠ số ứng viên không hợp lệ"))))</f>
        <v/>
      </c>
      <c r="O15" s="7" t="s">
        <v>109</v>
      </c>
      <c r="P15" s="7" t="s">
        <v>51</v>
      </c>
      <c r="Q15" s="7"/>
      <c r="R15" s="7"/>
      <c r="S15" s="7"/>
    </row>
    <row r="16" customFormat="false" ht="15" hidden="false" customHeight="false" outlineLevel="0" collapsed="false">
      <c r="A16" s="5" t="n">
        <v>15</v>
      </c>
      <c r="B16" s="5" t="s">
        <v>42</v>
      </c>
      <c r="C16" s="5" t="s">
        <v>110</v>
      </c>
      <c r="D16" s="5" t="s">
        <v>111</v>
      </c>
      <c r="E16" s="5" t="s">
        <v>112</v>
      </c>
      <c r="F16" s="5" t="s">
        <v>113</v>
      </c>
      <c r="G16" s="6" t="s">
        <v>47</v>
      </c>
      <c r="H16" s="5" t="n">
        <v>10</v>
      </c>
      <c r="I16" s="5" t="n">
        <f aca="false">COUNTIF('Ứng viên'!$B$2:$B$238,A16)</f>
        <v>0</v>
      </c>
      <c r="J16" s="5" t="s">
        <v>75</v>
      </c>
      <c r="K16" s="7" t="s">
        <v>65</v>
      </c>
      <c r="L16" s="7"/>
      <c r="M16" s="7"/>
      <c r="N16" s="8" t="str">
        <f aca="false">IF(K16&lt;&gt;"PAIRED","",IF(M16&lt;&gt;"",M16,IF(L16="","",IFERROR(INDEX('Ứng viên'!$D$2:$D$238,MATCH(A16&amp;"-"&amp;L16,'Ứng viên'!$A$2:$A$238,0)),"⚠ số ứng viên không hợp lệ"))))</f>
        <v/>
      </c>
      <c r="O16" s="7" t="s">
        <v>114</v>
      </c>
      <c r="P16" s="7" t="s">
        <v>51</v>
      </c>
      <c r="Q16" s="7"/>
      <c r="R16" s="7"/>
      <c r="S16" s="7"/>
    </row>
    <row r="17" customFormat="false" ht="15" hidden="false" customHeight="false" outlineLevel="0" collapsed="false">
      <c r="A17" s="5" t="n">
        <v>16</v>
      </c>
      <c r="B17" s="5" t="s">
        <v>42</v>
      </c>
      <c r="C17" s="5" t="s">
        <v>115</v>
      </c>
      <c r="D17" s="5" t="s">
        <v>116</v>
      </c>
      <c r="E17" s="5" t="s">
        <v>117</v>
      </c>
      <c r="F17" s="5" t="s">
        <v>118</v>
      </c>
      <c r="G17" s="6" t="s">
        <v>47</v>
      </c>
      <c r="H17" s="5" t="n">
        <v>2</v>
      </c>
      <c r="I17" s="5" t="n">
        <f aca="false">COUNTIF('Ứng viên'!$B$2:$B$238,A17)</f>
        <v>0</v>
      </c>
      <c r="J17" s="5" t="s">
        <v>75</v>
      </c>
      <c r="K17" s="7" t="s">
        <v>65</v>
      </c>
      <c r="L17" s="7"/>
      <c r="M17" s="7"/>
      <c r="N17" s="8" t="str">
        <f aca="false">IF(K17&lt;&gt;"PAIRED","",IF(M17&lt;&gt;"",M17,IF(L17="","",IFERROR(INDEX('Ứng viên'!$D$2:$D$238,MATCH(A17&amp;"-"&amp;L17,'Ứng viên'!$A$2:$A$238,0)),"⚠ số ứng viên không hợp lệ"))))</f>
        <v/>
      </c>
      <c r="O17" s="7" t="s">
        <v>119</v>
      </c>
      <c r="P17" s="7" t="s">
        <v>51</v>
      </c>
      <c r="Q17" s="7"/>
      <c r="R17" s="7"/>
      <c r="S17" s="7"/>
    </row>
    <row r="18" customFormat="false" ht="15" hidden="false" customHeight="false" outlineLevel="0" collapsed="false">
      <c r="A18" s="5" t="n">
        <v>17</v>
      </c>
      <c r="B18" s="5" t="s">
        <v>42</v>
      </c>
      <c r="C18" s="5" t="s">
        <v>120</v>
      </c>
      <c r="D18" s="5" t="s">
        <v>121</v>
      </c>
      <c r="E18" s="5" t="s">
        <v>122</v>
      </c>
      <c r="F18" s="5" t="s">
        <v>123</v>
      </c>
      <c r="G18" s="6" t="s">
        <v>47</v>
      </c>
      <c r="H18" s="5" t="n">
        <v>57</v>
      </c>
      <c r="I18" s="5" t="n">
        <f aca="false">COUNTIF('Ứng viên'!$B$2:$B$238,A18)</f>
        <v>0</v>
      </c>
      <c r="J18" s="5" t="s">
        <v>75</v>
      </c>
      <c r="K18" s="7" t="s">
        <v>65</v>
      </c>
      <c r="L18" s="7"/>
      <c r="M18" s="7"/>
      <c r="N18" s="8" t="str">
        <f aca="false">IF(K18&lt;&gt;"PAIRED","",IF(M18&lt;&gt;"",M18,IF(L18="","",IFERROR(INDEX('Ứng viên'!$D$2:$D$238,MATCH(A18&amp;"-"&amp;L18,'Ứng viên'!$A$2:$A$238,0)),"⚠ số ứng viên không hợp lệ"))))</f>
        <v/>
      </c>
      <c r="O18" s="7" t="s">
        <v>124</v>
      </c>
      <c r="P18" s="7" t="s">
        <v>51</v>
      </c>
      <c r="Q18" s="7"/>
      <c r="R18" s="7"/>
      <c r="S18" s="7"/>
    </row>
    <row r="19" customFormat="false" ht="15" hidden="false" customHeight="false" outlineLevel="0" collapsed="false">
      <c r="A19" s="5" t="n">
        <v>18</v>
      </c>
      <c r="B19" s="5" t="s">
        <v>42</v>
      </c>
      <c r="C19" s="5" t="s">
        <v>125</v>
      </c>
      <c r="D19" s="5" t="s">
        <v>126</v>
      </c>
      <c r="E19" s="5" t="s">
        <v>127</v>
      </c>
      <c r="F19" s="5" t="s">
        <v>128</v>
      </c>
      <c r="G19" s="6" t="s">
        <v>47</v>
      </c>
      <c r="H19" s="5" t="n">
        <v>29</v>
      </c>
      <c r="I19" s="5" t="n">
        <f aca="false">COUNTIF('Ứng viên'!$B$2:$B$238,A19)</f>
        <v>1</v>
      </c>
      <c r="J19" s="5" t="s">
        <v>129</v>
      </c>
      <c r="K19" s="7" t="s">
        <v>65</v>
      </c>
      <c r="L19" s="7"/>
      <c r="M19" s="7"/>
      <c r="N19" s="8" t="str">
        <f aca="false">IF(K19&lt;&gt;"PAIRED","",IF(M19&lt;&gt;"",M19,IF(L19="","",IFERROR(INDEX('Ứng viên'!$D$2:$D$238,MATCH(A19&amp;"-"&amp;L19,'Ứng viên'!$A$2:$A$238,0)),"⚠ số ứng viên không hợp lệ"))))</f>
        <v/>
      </c>
      <c r="O19" s="7" t="s">
        <v>130</v>
      </c>
      <c r="P19" s="7" t="s">
        <v>51</v>
      </c>
      <c r="Q19" s="7"/>
      <c r="R19" s="7"/>
      <c r="S19" s="7"/>
    </row>
    <row r="20" customFormat="false" ht="15" hidden="false" customHeight="false" outlineLevel="0" collapsed="false">
      <c r="A20" s="5" t="n">
        <v>19</v>
      </c>
      <c r="B20" s="5" t="s">
        <v>42</v>
      </c>
      <c r="C20" s="5" t="s">
        <v>131</v>
      </c>
      <c r="D20" s="5" t="s">
        <v>132</v>
      </c>
      <c r="E20" s="5" t="s">
        <v>133</v>
      </c>
      <c r="F20" s="5" t="s">
        <v>134</v>
      </c>
      <c r="G20" s="6" t="s">
        <v>47</v>
      </c>
      <c r="H20" s="5" t="n">
        <v>60</v>
      </c>
      <c r="I20" s="5" t="n">
        <f aca="false">COUNTIF('Ứng viên'!$B$2:$B$238,A20)</f>
        <v>10</v>
      </c>
      <c r="J20" s="5" t="s">
        <v>135</v>
      </c>
      <c r="K20" s="7" t="s">
        <v>49</v>
      </c>
      <c r="L20" s="7" t="n">
        <v>1</v>
      </c>
      <c r="M20" s="7"/>
      <c r="N20" s="8" t="str">
        <f aca="false">IF(K20&lt;&gt;"PAIRED","",IF(M20&lt;&gt;"",M20,IF(L20="","",IFERROR(INDEX('Ứng viên'!$D$2:$D$238,MATCH(A20&amp;"-"&amp;L20,'Ứng viên'!$A$2:$A$238,0)),"⚠ số ứng viên không hợp lệ"))))</f>
        <v>src/test/java/com/ezylang/evalex/parser/TokenizerArrayTest.java</v>
      </c>
      <c r="O20" s="7" t="s">
        <v>136</v>
      </c>
      <c r="P20" s="7" t="s">
        <v>51</v>
      </c>
      <c r="Q20" s="7"/>
      <c r="R20" s="7"/>
      <c r="S20" s="7"/>
    </row>
    <row r="21" customFormat="false" ht="15" hidden="false" customHeight="false" outlineLevel="0" collapsed="false">
      <c r="A21" s="5" t="n">
        <v>20</v>
      </c>
      <c r="B21" s="5" t="s">
        <v>42</v>
      </c>
      <c r="C21" s="5" t="s">
        <v>137</v>
      </c>
      <c r="D21" s="5" t="s">
        <v>138</v>
      </c>
      <c r="E21" s="5" t="s">
        <v>139</v>
      </c>
      <c r="F21" s="5" t="s">
        <v>140</v>
      </c>
      <c r="G21" s="6" t="s">
        <v>47</v>
      </c>
      <c r="H21" s="5" t="n">
        <v>184</v>
      </c>
      <c r="I21" s="5" t="n">
        <f aca="false">COUNTIF('Ứng viên'!$B$2:$B$238,A21)</f>
        <v>0</v>
      </c>
      <c r="J21" s="5" t="s">
        <v>75</v>
      </c>
      <c r="K21" s="7" t="s">
        <v>65</v>
      </c>
      <c r="L21" s="7"/>
      <c r="M21" s="7"/>
      <c r="N21" s="8" t="str">
        <f aca="false">IF(K21&lt;&gt;"PAIRED","",IF(M21&lt;&gt;"",M21,IF(L21="","",IFERROR(INDEX('Ứng viên'!$D$2:$D$238,MATCH(A21&amp;"-"&amp;L21,'Ứng viên'!$A$2:$A$238,0)),"⚠ số ứng viên không hợp lệ"))))</f>
        <v/>
      </c>
      <c r="O21" s="7" t="s">
        <v>141</v>
      </c>
      <c r="P21" s="7" t="s">
        <v>51</v>
      </c>
      <c r="Q21" s="7"/>
      <c r="R21" s="7"/>
      <c r="S21" s="7"/>
    </row>
    <row r="22" customFormat="false" ht="15" hidden="false" customHeight="false" outlineLevel="0" collapsed="false">
      <c r="A22" s="5" t="n">
        <v>21</v>
      </c>
      <c r="B22" s="5" t="s">
        <v>42</v>
      </c>
      <c r="C22" s="5" t="s">
        <v>137</v>
      </c>
      <c r="D22" s="5" t="s">
        <v>138</v>
      </c>
      <c r="E22" s="5" t="s">
        <v>142</v>
      </c>
      <c r="F22" s="5" t="s">
        <v>143</v>
      </c>
      <c r="G22" s="6" t="s">
        <v>47</v>
      </c>
      <c r="H22" s="5" t="n">
        <v>184</v>
      </c>
      <c r="I22" s="5" t="n">
        <f aca="false">COUNTIF('Ứng viên'!$B$2:$B$238,A22)</f>
        <v>3</v>
      </c>
      <c r="J22" s="5" t="s">
        <v>144</v>
      </c>
      <c r="K22" s="7" t="s">
        <v>49</v>
      </c>
      <c r="L22" s="7" t="n">
        <v>1</v>
      </c>
      <c r="M22" s="7"/>
      <c r="N22" s="8" t="str">
        <f aca="false">IF(K22&lt;&gt;"PAIRED","",IF(M22&lt;&gt;"",M22,IF(L22="","",IFERROR(INDEX('Ứng viên'!$D$2:$D$238,MATCH(A22&amp;"-"&amp;L22,'Ứng viên'!$A$2:$A$238,0)),"⚠ số ứng viên không hợp lệ"))))</f>
        <v>src/test/java/com/reason/lang/ocaml/ModuleParsingTest.java</v>
      </c>
      <c r="O22" s="7" t="s">
        <v>145</v>
      </c>
      <c r="P22" s="7" t="s">
        <v>51</v>
      </c>
      <c r="Q22" s="7"/>
      <c r="R22" s="7"/>
      <c r="S22" s="7"/>
    </row>
    <row r="23" customFormat="false" ht="15" hidden="false" customHeight="false" outlineLevel="0" collapsed="false">
      <c r="A23" s="5" t="n">
        <v>22</v>
      </c>
      <c r="B23" s="5" t="s">
        <v>42</v>
      </c>
      <c r="C23" s="5" t="s">
        <v>137</v>
      </c>
      <c r="D23" s="5" t="s">
        <v>138</v>
      </c>
      <c r="E23" s="5" t="s">
        <v>146</v>
      </c>
      <c r="F23" s="5" t="s">
        <v>147</v>
      </c>
      <c r="G23" s="6" t="s">
        <v>47</v>
      </c>
      <c r="H23" s="5" t="n">
        <v>184</v>
      </c>
      <c r="I23" s="5" t="n">
        <f aca="false">COUNTIF('Ứng viên'!$B$2:$B$238,A23)</f>
        <v>0</v>
      </c>
      <c r="J23" s="5" t="s">
        <v>75</v>
      </c>
      <c r="K23" s="7" t="s">
        <v>65</v>
      </c>
      <c r="L23" s="7"/>
      <c r="M23" s="7"/>
      <c r="N23" s="8" t="str">
        <f aca="false">IF(K23&lt;&gt;"PAIRED","",IF(M23&lt;&gt;"",M23,IF(L23="","",IFERROR(INDEX('Ứng viên'!$D$2:$D$238,MATCH(A23&amp;"-"&amp;L23,'Ứng viên'!$A$2:$A$238,0)),"⚠ số ứng viên không hợp lệ"))))</f>
        <v/>
      </c>
      <c r="O23" s="7" t="s">
        <v>148</v>
      </c>
      <c r="P23" s="7" t="s">
        <v>51</v>
      </c>
      <c r="Q23" s="7"/>
      <c r="R23" s="7"/>
      <c r="S23" s="7"/>
    </row>
    <row r="24" customFormat="false" ht="15" hidden="false" customHeight="false" outlineLevel="0" collapsed="false">
      <c r="A24" s="5" t="n">
        <v>23</v>
      </c>
      <c r="B24" s="5" t="s">
        <v>42</v>
      </c>
      <c r="C24" s="5" t="s">
        <v>137</v>
      </c>
      <c r="D24" s="5" t="s">
        <v>149</v>
      </c>
      <c r="E24" s="5" t="s">
        <v>146</v>
      </c>
      <c r="F24" s="5" t="s">
        <v>147</v>
      </c>
      <c r="G24" s="6" t="s">
        <v>47</v>
      </c>
      <c r="H24" s="5" t="n">
        <v>184</v>
      </c>
      <c r="I24" s="5" t="n">
        <f aca="false">COUNTIF('Ứng viên'!$B$2:$B$238,A24)</f>
        <v>0</v>
      </c>
      <c r="J24" s="5" t="s">
        <v>75</v>
      </c>
      <c r="K24" s="7" t="s">
        <v>65</v>
      </c>
      <c r="L24" s="7"/>
      <c r="M24" s="7"/>
      <c r="N24" s="8" t="str">
        <f aca="false">IF(K24&lt;&gt;"PAIRED","",IF(M24&lt;&gt;"",M24,IF(L24="","",IFERROR(INDEX('Ứng viên'!$D$2:$D$238,MATCH(A24&amp;"-"&amp;L24,'Ứng viên'!$A$2:$A$238,0)),"⚠ số ứng viên không hợp lệ"))))</f>
        <v/>
      </c>
      <c r="O24" s="7" t="s">
        <v>148</v>
      </c>
      <c r="P24" s="7" t="s">
        <v>51</v>
      </c>
      <c r="Q24" s="7"/>
      <c r="R24" s="7"/>
      <c r="S24" s="7"/>
    </row>
    <row r="25" customFormat="false" ht="15" hidden="false" customHeight="false" outlineLevel="0" collapsed="false">
      <c r="A25" s="5" t="n">
        <v>24</v>
      </c>
      <c r="B25" s="5" t="s">
        <v>42</v>
      </c>
      <c r="C25" s="5" t="s">
        <v>137</v>
      </c>
      <c r="D25" s="5" t="s">
        <v>150</v>
      </c>
      <c r="E25" s="5" t="s">
        <v>151</v>
      </c>
      <c r="F25" s="5" t="s">
        <v>152</v>
      </c>
      <c r="G25" s="6" t="s">
        <v>47</v>
      </c>
      <c r="H25" s="5" t="n">
        <v>183</v>
      </c>
      <c r="I25" s="5" t="n">
        <f aca="false">COUNTIF('Ứng viên'!$B$2:$B$238,A25)</f>
        <v>0</v>
      </c>
      <c r="J25" s="5" t="s">
        <v>75</v>
      </c>
      <c r="K25" s="7" t="s">
        <v>65</v>
      </c>
      <c r="L25" s="7"/>
      <c r="M25" s="7"/>
      <c r="N25" s="8" t="str">
        <f aca="false">IF(K25&lt;&gt;"PAIRED","",IF(M25&lt;&gt;"",M25,IF(L25="","",IFERROR(INDEX('Ứng viên'!$D$2:$D$238,MATCH(A25&amp;"-"&amp;L25,'Ứng viên'!$A$2:$A$238,0)),"⚠ số ứng viên không hợp lệ"))))</f>
        <v/>
      </c>
      <c r="O25" s="7" t="s">
        <v>153</v>
      </c>
      <c r="P25" s="7" t="s">
        <v>51</v>
      </c>
      <c r="Q25" s="7"/>
      <c r="R25" s="7"/>
      <c r="S25" s="7"/>
    </row>
    <row r="26" customFormat="false" ht="15" hidden="false" customHeight="false" outlineLevel="0" collapsed="false">
      <c r="A26" s="5" t="n">
        <v>25</v>
      </c>
      <c r="B26" s="5" t="s">
        <v>42</v>
      </c>
      <c r="C26" s="5" t="s">
        <v>154</v>
      </c>
      <c r="D26" s="5" t="s">
        <v>155</v>
      </c>
      <c r="E26" s="5" t="s">
        <v>156</v>
      </c>
      <c r="F26" s="5" t="s">
        <v>157</v>
      </c>
      <c r="G26" s="6" t="s">
        <v>47</v>
      </c>
      <c r="H26" s="5" t="n">
        <v>1</v>
      </c>
      <c r="I26" s="5" t="n">
        <f aca="false">COUNTIF('Ứng viên'!$B$2:$B$238,A26)</f>
        <v>0</v>
      </c>
      <c r="J26" s="5" t="s">
        <v>75</v>
      </c>
      <c r="K26" s="7" t="s">
        <v>65</v>
      </c>
      <c r="L26" s="7"/>
      <c r="M26" s="7"/>
      <c r="N26" s="8" t="str">
        <f aca="false">IF(K26&lt;&gt;"PAIRED","",IF(M26&lt;&gt;"",M26,IF(L26="","",IFERROR(INDEX('Ứng viên'!$D$2:$D$238,MATCH(A26&amp;"-"&amp;L26,'Ứng viên'!$A$2:$A$238,0)),"⚠ số ứng viên không hợp lệ"))))</f>
        <v/>
      </c>
      <c r="O26" s="7" t="s">
        <v>158</v>
      </c>
      <c r="P26" s="7" t="s">
        <v>51</v>
      </c>
      <c r="Q26" s="7"/>
      <c r="R26" s="7"/>
      <c r="S26" s="7"/>
    </row>
    <row r="27" customFormat="false" ht="15" hidden="false" customHeight="false" outlineLevel="0" collapsed="false">
      <c r="A27" s="5" t="n">
        <v>26</v>
      </c>
      <c r="B27" s="5" t="s">
        <v>42</v>
      </c>
      <c r="C27" s="5" t="s">
        <v>159</v>
      </c>
      <c r="D27" s="5" t="s">
        <v>160</v>
      </c>
      <c r="E27" s="5" t="s">
        <v>161</v>
      </c>
      <c r="F27" s="5" t="s">
        <v>162</v>
      </c>
      <c r="G27" s="6" t="s">
        <v>47</v>
      </c>
      <c r="H27" s="5" t="n">
        <v>67</v>
      </c>
      <c r="I27" s="5" t="n">
        <f aca="false">COUNTIF('Ứng viên'!$B$2:$B$238,A27)</f>
        <v>37</v>
      </c>
      <c r="J27" s="5" t="s">
        <v>163</v>
      </c>
      <c r="K27" s="7" t="s">
        <v>49</v>
      </c>
      <c r="L27" s="7" t="n">
        <v>1</v>
      </c>
      <c r="M27" s="7"/>
      <c r="N27" s="8" t="str">
        <f aca="false">IF(K27&lt;&gt;"PAIRED","",IF(M27&lt;&gt;"",M27,IF(L27="","",IFERROR(INDEX('Ứng viên'!$D$2:$D$238,MATCH(A27&amp;"-"&amp;L27,'Ứng viên'!$A$2:$A$238,0)),"⚠ số ứng viên không hợp lệ"))))</f>
        <v>src/test/java/com/jitterted/mobreg/domain/EnsembleMemberStatusTest.java</v>
      </c>
      <c r="O27" s="7" t="s">
        <v>164</v>
      </c>
      <c r="P27" s="7" t="s">
        <v>51</v>
      </c>
      <c r="Q27" s="7"/>
      <c r="R27" s="7"/>
      <c r="S27" s="7"/>
    </row>
    <row r="28" customFormat="false" ht="15" hidden="false" customHeight="false" outlineLevel="0" collapsed="false">
      <c r="A28" s="5" t="n">
        <v>27</v>
      </c>
      <c r="B28" s="5" t="s">
        <v>42</v>
      </c>
      <c r="C28" s="5" t="s">
        <v>159</v>
      </c>
      <c r="D28" s="5" t="s">
        <v>165</v>
      </c>
      <c r="E28" s="5" t="s">
        <v>161</v>
      </c>
      <c r="F28" s="5" t="s">
        <v>162</v>
      </c>
      <c r="G28" s="6" t="s">
        <v>47</v>
      </c>
      <c r="H28" s="5" t="n">
        <v>67</v>
      </c>
      <c r="I28" s="5" t="n">
        <f aca="false">COUNTIF('Ứng viên'!$B$2:$B$238,A28)</f>
        <v>37</v>
      </c>
      <c r="J28" s="5" t="s">
        <v>163</v>
      </c>
      <c r="K28" s="7" t="s">
        <v>49</v>
      </c>
      <c r="L28" s="7" t="n">
        <v>1</v>
      </c>
      <c r="M28" s="7"/>
      <c r="N28" s="8" t="str">
        <f aca="false">IF(K28&lt;&gt;"PAIRED","",IF(M28&lt;&gt;"",M28,IF(L28="","",IFERROR(INDEX('Ứng viên'!$D$2:$D$238,MATCH(A28&amp;"-"&amp;L28,'Ứng viên'!$A$2:$A$238,0)),"⚠ số ứng viên không hợp lệ"))))</f>
        <v>src/test/java/com/jitterted/mobreg/domain/EnsembleMemberStatusTest.java</v>
      </c>
      <c r="O28" s="7" t="s">
        <v>164</v>
      </c>
      <c r="P28" s="7" t="s">
        <v>51</v>
      </c>
      <c r="Q28" s="7"/>
      <c r="R28" s="7"/>
      <c r="S28" s="7"/>
    </row>
    <row r="29" customFormat="false" ht="15" hidden="false" customHeight="false" outlineLevel="0" collapsed="false">
      <c r="A29" s="5" t="n">
        <v>28</v>
      </c>
      <c r="B29" s="5" t="s">
        <v>42</v>
      </c>
      <c r="C29" s="5" t="s">
        <v>159</v>
      </c>
      <c r="D29" s="5" t="s">
        <v>166</v>
      </c>
      <c r="E29" s="5" t="s">
        <v>161</v>
      </c>
      <c r="F29" s="5" t="s">
        <v>162</v>
      </c>
      <c r="G29" s="6" t="s">
        <v>47</v>
      </c>
      <c r="H29" s="5" t="n">
        <v>67</v>
      </c>
      <c r="I29" s="5" t="n">
        <f aca="false">COUNTIF('Ứng viên'!$B$2:$B$238,A29)</f>
        <v>37</v>
      </c>
      <c r="J29" s="5" t="s">
        <v>163</v>
      </c>
      <c r="K29" s="7" t="s">
        <v>49</v>
      </c>
      <c r="L29" s="7" t="n">
        <v>1</v>
      </c>
      <c r="M29" s="7"/>
      <c r="N29" s="8" t="str">
        <f aca="false">IF(K29&lt;&gt;"PAIRED","",IF(M29&lt;&gt;"",M29,IF(L29="","",IFERROR(INDEX('Ứng viên'!$D$2:$D$238,MATCH(A29&amp;"-"&amp;L29,'Ứng viên'!$A$2:$A$238,0)),"⚠ số ứng viên không hợp lệ"))))</f>
        <v>src/test/java/com/jitterted/mobreg/domain/EnsembleMemberStatusTest.java</v>
      </c>
      <c r="O29" s="7" t="s">
        <v>164</v>
      </c>
      <c r="P29" s="7" t="s">
        <v>51</v>
      </c>
      <c r="Q29" s="7"/>
      <c r="R29" s="7"/>
      <c r="S29" s="7"/>
    </row>
    <row r="30" customFormat="false" ht="15" hidden="false" customHeight="false" outlineLevel="0" collapsed="false">
      <c r="A30" s="5" t="n">
        <v>29</v>
      </c>
      <c r="B30" s="5" t="s">
        <v>42</v>
      </c>
      <c r="C30" s="5" t="s">
        <v>167</v>
      </c>
      <c r="D30" s="5" t="s">
        <v>168</v>
      </c>
      <c r="E30" s="5" t="s">
        <v>169</v>
      </c>
      <c r="F30" s="5" t="s">
        <v>170</v>
      </c>
      <c r="G30" s="6" t="s">
        <v>47</v>
      </c>
      <c r="H30" s="5" t="n">
        <v>9</v>
      </c>
      <c r="I30" s="5" t="n">
        <f aca="false">COUNTIF('Ứng viên'!$B$2:$B$238,A30)</f>
        <v>0</v>
      </c>
      <c r="J30" s="5" t="s">
        <v>75</v>
      </c>
      <c r="K30" s="7" t="s">
        <v>65</v>
      </c>
      <c r="L30" s="7"/>
      <c r="M30" s="7"/>
      <c r="N30" s="8" t="str">
        <f aca="false">IF(K30&lt;&gt;"PAIRED","",IF(M30&lt;&gt;"",M30,IF(L30="","",IFERROR(INDEX('Ứng viên'!$D$2:$D$238,MATCH(A30&amp;"-"&amp;L30,'Ứng viên'!$A$2:$A$238,0)),"⚠ số ứng viên không hợp lệ"))))</f>
        <v/>
      </c>
      <c r="O30" s="7" t="s">
        <v>171</v>
      </c>
      <c r="P30" s="7" t="s">
        <v>51</v>
      </c>
      <c r="Q30" s="7"/>
      <c r="R30" s="7"/>
      <c r="S30" s="7"/>
    </row>
    <row r="31" customFormat="false" ht="15" hidden="false" customHeight="false" outlineLevel="0" collapsed="false">
      <c r="A31" s="5" t="n">
        <v>30</v>
      </c>
      <c r="B31" s="5" t="s">
        <v>42</v>
      </c>
      <c r="C31" s="5" t="s">
        <v>172</v>
      </c>
      <c r="D31" s="5" t="s">
        <v>173</v>
      </c>
      <c r="E31" s="5" t="s">
        <v>174</v>
      </c>
      <c r="F31" s="5" t="s">
        <v>175</v>
      </c>
      <c r="G31" s="6" t="s">
        <v>47</v>
      </c>
      <c r="H31" s="5" t="n">
        <v>17</v>
      </c>
      <c r="I31" s="5" t="n">
        <f aca="false">COUNTIF('Ứng viên'!$B$2:$B$238,A31)</f>
        <v>2</v>
      </c>
      <c r="J31" s="5" t="s">
        <v>176</v>
      </c>
      <c r="K31" s="7" t="s">
        <v>49</v>
      </c>
      <c r="L31" s="7" t="n">
        <v>1</v>
      </c>
      <c r="M31" s="7"/>
      <c r="N31" s="8" t="str">
        <f aca="false">IF(K31&lt;&gt;"PAIRED","",IF(M31&lt;&gt;"",M31,IF(L31="","",IFERROR(INDEX('Ứng viên'!$D$2:$D$238,MATCH(A31&amp;"-"&amp;L31,'Ứng viên'!$A$2:$A$238,0)),"⚠ số ứng viên không hợp lệ"))))</f>
        <v>src/test/java/de/slub/urn/RFC8141ParserTest.java</v>
      </c>
      <c r="O31" s="7" t="s">
        <v>177</v>
      </c>
      <c r="P31" s="7" t="s">
        <v>51</v>
      </c>
      <c r="Q31" s="7"/>
      <c r="R31" s="7"/>
      <c r="S31" s="7"/>
    </row>
    <row r="32" customFormat="false" ht="15" hidden="false" customHeight="false" outlineLevel="0" collapsed="false">
      <c r="A32" s="5" t="n">
        <v>31</v>
      </c>
      <c r="B32" s="5" t="s">
        <v>42</v>
      </c>
      <c r="C32" s="5" t="s">
        <v>178</v>
      </c>
      <c r="D32" s="5" t="s">
        <v>179</v>
      </c>
      <c r="E32" s="5" t="s">
        <v>180</v>
      </c>
      <c r="F32" s="5" t="s">
        <v>181</v>
      </c>
      <c r="G32" s="6" t="s">
        <v>47</v>
      </c>
      <c r="H32" s="5" t="n">
        <v>183</v>
      </c>
      <c r="I32" s="5" t="n">
        <f aca="false">COUNTIF('Ứng viên'!$B$2:$B$238,A32)</f>
        <v>4</v>
      </c>
      <c r="J32" s="5" t="s">
        <v>182</v>
      </c>
      <c r="K32" s="7" t="s">
        <v>49</v>
      </c>
      <c r="L32" s="7" t="n">
        <v>1</v>
      </c>
      <c r="M32" s="7"/>
      <c r="N32" s="8" t="str">
        <f aca="false">IF(K32&lt;&gt;"PAIRED","",IF(M32&lt;&gt;"",M32,IF(L32="","",IFERROR(INDEX('Ứng viên'!$D$2:$D$238,MATCH(A32&amp;"-"&amp;L32,'Ứng viên'!$A$2:$A$238,0)),"⚠ số ứng viên không hợp lệ"))))</f>
        <v>src/test/java/net/snowflake/client/jdbc/ConnectStringParseTest.java</v>
      </c>
      <c r="O32" s="7" t="s">
        <v>183</v>
      </c>
      <c r="P32" s="7" t="s">
        <v>51</v>
      </c>
      <c r="Q32" s="7"/>
      <c r="R32" s="7"/>
      <c r="S32" s="7"/>
    </row>
    <row r="33" customFormat="false" ht="15" hidden="false" customHeight="false" outlineLevel="0" collapsed="false">
      <c r="A33" s="5" t="n">
        <v>32</v>
      </c>
      <c r="B33" s="5" t="s">
        <v>42</v>
      </c>
      <c r="C33" s="5" t="s">
        <v>178</v>
      </c>
      <c r="D33" s="5" t="s">
        <v>184</v>
      </c>
      <c r="E33" s="5" t="s">
        <v>185</v>
      </c>
      <c r="F33" s="5" t="s">
        <v>186</v>
      </c>
      <c r="G33" s="6" t="s">
        <v>47</v>
      </c>
      <c r="H33" s="5" t="n">
        <v>189</v>
      </c>
      <c r="I33" s="5" t="n">
        <f aca="false">COUNTIF('Ứng viên'!$B$2:$B$238,A33)</f>
        <v>10</v>
      </c>
      <c r="J33" s="5" t="s">
        <v>187</v>
      </c>
      <c r="K33" s="7" t="s">
        <v>49</v>
      </c>
      <c r="L33" s="7" t="n">
        <v>2</v>
      </c>
      <c r="M33" s="7"/>
      <c r="N33" s="8" t="str">
        <f aca="false">IF(K33&lt;&gt;"PAIRED","",IF(M33&lt;&gt;"",M33,IF(L33="","",IFERROR(INDEX('Ứng viên'!$D$2:$D$238,MATCH(A33&amp;"-"&amp;L33,'Ứng viên'!$A$2:$A$238,0)),"⚠ số ứng viên không hợp lệ"))))</f>
        <v>src/test/java/net/snowflake/client/jdbc/FileUploaderSessionlessTest.java</v>
      </c>
      <c r="O33" s="7" t="s">
        <v>188</v>
      </c>
      <c r="P33" s="7" t="s">
        <v>51</v>
      </c>
      <c r="Q33" s="7"/>
      <c r="R33" s="7"/>
      <c r="S33" s="7"/>
    </row>
    <row r="34" customFormat="false" ht="15" hidden="false" customHeight="false" outlineLevel="0" collapsed="false">
      <c r="A34" s="5" t="n">
        <v>33</v>
      </c>
      <c r="B34" s="5" t="s">
        <v>42</v>
      </c>
      <c r="C34" s="5" t="s">
        <v>189</v>
      </c>
      <c r="D34" s="5" t="s">
        <v>190</v>
      </c>
      <c r="E34" s="5" t="s">
        <v>191</v>
      </c>
      <c r="F34" s="5" t="s">
        <v>192</v>
      </c>
      <c r="G34" s="6" t="s">
        <v>47</v>
      </c>
      <c r="H34" s="5" t="n">
        <v>36</v>
      </c>
      <c r="I34" s="5" t="n">
        <f aca="false">COUNTIF('Ứng viên'!$B$2:$B$238,A34)</f>
        <v>7</v>
      </c>
      <c r="J34" s="5" t="s">
        <v>193</v>
      </c>
      <c r="K34" s="7" t="s">
        <v>49</v>
      </c>
      <c r="L34" s="7" t="n">
        <v>1</v>
      </c>
      <c r="M34" s="7"/>
      <c r="N34" s="8" t="str">
        <f aca="false">IF(K34&lt;&gt;"PAIRED","",IF(M34&lt;&gt;"",M34,IF(L34="","",IFERROR(INDEX('Ứng viên'!$D$2:$D$238,MATCH(A34&amp;"-"&amp;L34,'Ứng viên'!$A$2:$A$238,0)),"⚠ số ứng viên không hợp lệ"))))</f>
        <v>src/test/java/org/springframework/guice/module/SpringModuleGuiceBindingAwareTests.java</v>
      </c>
      <c r="O34" s="7" t="s">
        <v>194</v>
      </c>
      <c r="P34" s="7" t="s">
        <v>51</v>
      </c>
      <c r="Q34" s="7"/>
      <c r="R34" s="7"/>
      <c r="S34" s="7"/>
    </row>
    <row r="35" customFormat="false" ht="15" hidden="false" customHeight="false" outlineLevel="0" collapsed="false">
      <c r="A35" s="5" t="n">
        <v>34</v>
      </c>
      <c r="B35" s="5" t="s">
        <v>42</v>
      </c>
      <c r="C35" s="5" t="s">
        <v>195</v>
      </c>
      <c r="D35" s="5" t="s">
        <v>196</v>
      </c>
      <c r="E35" s="5" t="s">
        <v>197</v>
      </c>
      <c r="F35" s="5" t="s">
        <v>198</v>
      </c>
      <c r="G35" s="6" t="s">
        <v>47</v>
      </c>
      <c r="H35" s="5" t="n">
        <v>68</v>
      </c>
      <c r="I35" s="5" t="n">
        <f aca="false">COUNTIF('Ứng viên'!$B$2:$B$238,A35)</f>
        <v>0</v>
      </c>
      <c r="J35" s="5" t="s">
        <v>75</v>
      </c>
      <c r="K35" s="7" t="s">
        <v>65</v>
      </c>
      <c r="L35" s="7"/>
      <c r="M35" s="7"/>
      <c r="N35" s="8" t="str">
        <f aca="false">IF(K35&lt;&gt;"PAIRED","",IF(M35&lt;&gt;"",M35,IF(L35="","",IFERROR(INDEX('Ứng viên'!$D$2:$D$238,MATCH(A35&amp;"-"&amp;L35,'Ứng viên'!$A$2:$A$238,0)),"⚠ số ứng viên không hợp lệ"))))</f>
        <v/>
      </c>
      <c r="O35" s="7" t="s">
        <v>199</v>
      </c>
      <c r="P35" s="7" t="s">
        <v>51</v>
      </c>
      <c r="Q35" s="7"/>
      <c r="R35" s="7"/>
      <c r="S35" s="7"/>
    </row>
    <row r="36" customFormat="false" ht="15" hidden="false" customHeight="false" outlineLevel="0" collapsed="false">
      <c r="A36" s="5" t="n">
        <v>35</v>
      </c>
      <c r="B36" s="5" t="s">
        <v>42</v>
      </c>
      <c r="C36" s="5" t="s">
        <v>200</v>
      </c>
      <c r="D36" s="5" t="s">
        <v>201</v>
      </c>
      <c r="E36" s="5" t="s">
        <v>202</v>
      </c>
      <c r="F36" s="5" t="s">
        <v>203</v>
      </c>
      <c r="G36" s="6" t="s">
        <v>47</v>
      </c>
      <c r="H36" s="5" t="n">
        <v>65</v>
      </c>
      <c r="I36" s="5" t="n">
        <f aca="false">COUNTIF('Ứng viên'!$B$2:$B$238,A36)</f>
        <v>8</v>
      </c>
      <c r="J36" s="5" t="s">
        <v>204</v>
      </c>
      <c r="K36" s="7" t="s">
        <v>49</v>
      </c>
      <c r="L36" s="7" t="n">
        <v>1</v>
      </c>
      <c r="M36" s="7"/>
      <c r="N36" s="8" t="str">
        <f aca="false">IF(K36&lt;&gt;"PAIRED","",IF(M36&lt;&gt;"",M36,IF(L36="","",IFERROR(INDEX('Ứng viên'!$D$2:$D$238,MATCH(A36&amp;"-"&amp;L36,'Ứng viên'!$A$2:$A$238,0)),"⚠ số ứng viên không hợp lệ"))))</f>
        <v>src/test/java/io/github/vmzakharov/ecdataframe/dsl/ObjectValueCompareOpTest.java</v>
      </c>
      <c r="O36" s="7" t="s">
        <v>205</v>
      </c>
      <c r="P36" s="7" t="s">
        <v>51</v>
      </c>
      <c r="Q36" s="7"/>
      <c r="R36" s="7"/>
      <c r="S36" s="7"/>
    </row>
    <row r="37" customFormat="false" ht="15" hidden="false" customHeight="false" outlineLevel="0" collapsed="false">
      <c r="A37" s="5" t="n">
        <v>36</v>
      </c>
      <c r="B37" s="5" t="s">
        <v>42</v>
      </c>
      <c r="C37" s="5" t="s">
        <v>200</v>
      </c>
      <c r="D37" s="5" t="s">
        <v>206</v>
      </c>
      <c r="E37" s="5" t="s">
        <v>207</v>
      </c>
      <c r="F37" s="5" t="s">
        <v>208</v>
      </c>
      <c r="G37" s="6" t="s">
        <v>47</v>
      </c>
      <c r="H37" s="5" t="n">
        <v>68</v>
      </c>
      <c r="I37" s="5" t="n">
        <f aca="false">COUNTIF('Ứng viên'!$B$2:$B$238,A37)</f>
        <v>0</v>
      </c>
      <c r="J37" s="5" t="s">
        <v>75</v>
      </c>
      <c r="K37" s="7" t="s">
        <v>65</v>
      </c>
      <c r="L37" s="7"/>
      <c r="M37" s="7"/>
      <c r="N37" s="8" t="str">
        <f aca="false">IF(K37&lt;&gt;"PAIRED","",IF(M37&lt;&gt;"",M37,IF(L37="","",IFERROR(INDEX('Ứng viên'!$D$2:$D$238,MATCH(A37&amp;"-"&amp;L37,'Ứng viên'!$A$2:$A$238,0)),"⚠ số ứng viên không hợp lệ"))))</f>
        <v/>
      </c>
      <c r="O37" s="7" t="s">
        <v>209</v>
      </c>
      <c r="P37" s="7" t="s">
        <v>51</v>
      </c>
      <c r="Q37" s="7"/>
      <c r="R37" s="7"/>
      <c r="S37" s="7"/>
    </row>
    <row r="38" customFormat="false" ht="15" hidden="false" customHeight="false" outlineLevel="0" collapsed="false">
      <c r="A38" s="5" t="n">
        <v>37</v>
      </c>
      <c r="B38" s="5" t="s">
        <v>42</v>
      </c>
      <c r="C38" s="5" t="s">
        <v>210</v>
      </c>
      <c r="D38" s="5" t="s">
        <v>211</v>
      </c>
      <c r="E38" s="5" t="s">
        <v>212</v>
      </c>
      <c r="F38" s="5" t="s">
        <v>213</v>
      </c>
      <c r="G38" s="6" t="s">
        <v>47</v>
      </c>
      <c r="H38" s="5" t="n">
        <v>29</v>
      </c>
      <c r="I38" s="5" t="n">
        <f aca="false">COUNTIF('Ứng viên'!$B$2:$B$238,A38)</f>
        <v>1</v>
      </c>
      <c r="J38" s="5" t="s">
        <v>214</v>
      </c>
      <c r="K38" s="7" t="s">
        <v>65</v>
      </c>
      <c r="L38" s="7"/>
      <c r="M38" s="7"/>
      <c r="N38" s="8" t="str">
        <f aca="false">IF(K38&lt;&gt;"PAIRED","",IF(M38&lt;&gt;"",M38,IF(L38="","",IFERROR(INDEX('Ứng viên'!$D$2:$D$238,MATCH(A38&amp;"-"&amp;L38,'Ứng viên'!$A$2:$A$238,0)),"⚠ số ứng viên không hợp lệ"))))</f>
        <v/>
      </c>
      <c r="O38" s="7" t="s">
        <v>215</v>
      </c>
      <c r="P38" s="7" t="s">
        <v>51</v>
      </c>
      <c r="Q38" s="7"/>
      <c r="R38" s="7"/>
      <c r="S38" s="7"/>
    </row>
    <row r="39" customFormat="false" ht="15" hidden="false" customHeight="false" outlineLevel="0" collapsed="false">
      <c r="A39" s="5" t="n">
        <v>38</v>
      </c>
      <c r="B39" s="5" t="s">
        <v>42</v>
      </c>
      <c r="C39" s="5" t="s">
        <v>210</v>
      </c>
      <c r="D39" s="5" t="s">
        <v>211</v>
      </c>
      <c r="E39" s="5" t="s">
        <v>216</v>
      </c>
      <c r="F39" s="5" t="s">
        <v>217</v>
      </c>
      <c r="G39" s="6" t="s">
        <v>47</v>
      </c>
      <c r="H39" s="5" t="n">
        <v>29</v>
      </c>
      <c r="I39" s="5" t="n">
        <f aca="false">COUNTIF('Ứng viên'!$B$2:$B$238,A39)</f>
        <v>0</v>
      </c>
      <c r="J39" s="5" t="s">
        <v>75</v>
      </c>
      <c r="K39" s="7" t="s">
        <v>65</v>
      </c>
      <c r="L39" s="7"/>
      <c r="M39" s="7"/>
      <c r="N39" s="8" t="str">
        <f aca="false">IF(K39&lt;&gt;"PAIRED","",IF(M39&lt;&gt;"",M39,IF(L39="","",IFERROR(INDEX('Ứng viên'!$D$2:$D$238,MATCH(A39&amp;"-"&amp;L39,'Ứng viên'!$A$2:$A$238,0)),"⚠ số ứng viên không hợp lệ"))))</f>
        <v/>
      </c>
      <c r="O39" s="7" t="s">
        <v>218</v>
      </c>
      <c r="P39" s="7" t="s">
        <v>51</v>
      </c>
      <c r="Q39" s="7"/>
      <c r="R39" s="7"/>
      <c r="S39" s="7"/>
    </row>
    <row r="40" customFormat="false" ht="15" hidden="false" customHeight="false" outlineLevel="0" collapsed="false">
      <c r="A40" s="5" t="n">
        <v>39</v>
      </c>
      <c r="B40" s="5" t="s">
        <v>42</v>
      </c>
      <c r="C40" s="5" t="s">
        <v>210</v>
      </c>
      <c r="D40" s="5" t="s">
        <v>219</v>
      </c>
      <c r="E40" s="5" t="s">
        <v>220</v>
      </c>
      <c r="F40" s="5" t="s">
        <v>221</v>
      </c>
      <c r="G40" s="6" t="s">
        <v>47</v>
      </c>
      <c r="H40" s="5" t="n">
        <v>30</v>
      </c>
      <c r="I40" s="5" t="n">
        <f aca="false">COUNTIF('Ứng viên'!$B$2:$B$238,A40)</f>
        <v>0</v>
      </c>
      <c r="J40" s="5" t="s">
        <v>75</v>
      </c>
      <c r="K40" s="7" t="s">
        <v>65</v>
      </c>
      <c r="L40" s="7"/>
      <c r="M40" s="7"/>
      <c r="N40" s="8" t="str">
        <f aca="false">IF(K40&lt;&gt;"PAIRED","",IF(M40&lt;&gt;"",M40,IF(L40="","",IFERROR(INDEX('Ứng viên'!$D$2:$D$238,MATCH(A40&amp;"-"&amp;L40,'Ứng viên'!$A$2:$A$238,0)),"⚠ số ứng viên không hợp lệ"))))</f>
        <v/>
      </c>
      <c r="O40" s="7" t="s">
        <v>222</v>
      </c>
      <c r="P40" s="7" t="s">
        <v>51</v>
      </c>
      <c r="Q40" s="7"/>
      <c r="R40" s="7"/>
      <c r="S40" s="7"/>
    </row>
    <row r="41" customFormat="false" ht="15" hidden="false" customHeight="false" outlineLevel="0" collapsed="false">
      <c r="A41" s="5" t="n">
        <v>40</v>
      </c>
      <c r="B41" s="5" t="s">
        <v>42</v>
      </c>
      <c r="C41" s="5" t="s">
        <v>210</v>
      </c>
      <c r="D41" s="5" t="s">
        <v>223</v>
      </c>
      <c r="E41" s="5" t="s">
        <v>224</v>
      </c>
      <c r="F41" s="5" t="s">
        <v>225</v>
      </c>
      <c r="G41" s="6" t="s">
        <v>47</v>
      </c>
      <c r="H41" s="5" t="n">
        <v>30</v>
      </c>
      <c r="I41" s="5" t="n">
        <f aca="false">COUNTIF('Ứng viên'!$B$2:$B$238,A41)</f>
        <v>0</v>
      </c>
      <c r="J41" s="5" t="s">
        <v>75</v>
      </c>
      <c r="K41" s="7" t="s">
        <v>65</v>
      </c>
      <c r="L41" s="7"/>
      <c r="M41" s="7"/>
      <c r="N41" s="8" t="str">
        <f aca="false">IF(K41&lt;&gt;"PAIRED","",IF(M41&lt;&gt;"",M41,IF(L41="","",IFERROR(INDEX('Ứng viên'!$D$2:$D$238,MATCH(A41&amp;"-"&amp;L41,'Ứng viên'!$A$2:$A$238,0)),"⚠ số ứng viên không hợp lệ"))))</f>
        <v/>
      </c>
      <c r="O41" s="7" t="s">
        <v>226</v>
      </c>
      <c r="P41" s="7" t="s">
        <v>51</v>
      </c>
      <c r="Q41" s="7"/>
      <c r="R41" s="7"/>
      <c r="S41" s="7"/>
    </row>
    <row r="42" customFormat="false" ht="15" hidden="false" customHeight="false" outlineLevel="0" collapsed="false">
      <c r="A42" s="5" t="n">
        <v>41</v>
      </c>
      <c r="B42" s="5" t="s">
        <v>42</v>
      </c>
      <c r="C42" s="5" t="s">
        <v>227</v>
      </c>
      <c r="D42" s="5" t="s">
        <v>228</v>
      </c>
      <c r="E42" s="5" t="s">
        <v>229</v>
      </c>
      <c r="F42" s="5" t="s">
        <v>230</v>
      </c>
      <c r="G42" s="6" t="s">
        <v>47</v>
      </c>
      <c r="H42" s="5" t="n">
        <v>495</v>
      </c>
      <c r="I42" s="5" t="n">
        <f aca="false">COUNTIF('Ứng viên'!$B$2:$B$238,A42)</f>
        <v>1</v>
      </c>
      <c r="J42" s="5" t="s">
        <v>231</v>
      </c>
      <c r="K42" s="7" t="s">
        <v>65</v>
      </c>
      <c r="L42" s="7"/>
      <c r="M42" s="7"/>
      <c r="N42" s="8" t="str">
        <f aca="false">IF(K42&lt;&gt;"PAIRED","",IF(M42&lt;&gt;"",M42,IF(L42="","",IFERROR(INDEX('Ứng viên'!$D$2:$D$238,MATCH(A42&amp;"-"&amp;L42,'Ứng viên'!$A$2:$A$238,0)),"⚠ số ứng viên không hợp lệ"))))</f>
        <v/>
      </c>
      <c r="O42" s="7" t="s">
        <v>232</v>
      </c>
      <c r="P42" s="7" t="s">
        <v>51</v>
      </c>
      <c r="Q42" s="7"/>
      <c r="R42" s="7"/>
      <c r="S42" s="7"/>
    </row>
    <row r="43" customFormat="false" ht="15" hidden="false" customHeight="false" outlineLevel="0" collapsed="false">
      <c r="A43" s="5" t="n">
        <v>42</v>
      </c>
      <c r="B43" s="5" t="s">
        <v>42</v>
      </c>
      <c r="C43" s="5" t="s">
        <v>233</v>
      </c>
      <c r="D43" s="5" t="s">
        <v>234</v>
      </c>
      <c r="E43" s="5" t="s">
        <v>235</v>
      </c>
      <c r="F43" s="5" t="s">
        <v>236</v>
      </c>
      <c r="G43" s="6" t="s">
        <v>47</v>
      </c>
      <c r="H43" s="5" t="n">
        <v>26</v>
      </c>
      <c r="I43" s="5" t="n">
        <f aca="false">COUNTIF('Ứng viên'!$B$2:$B$238,A43)</f>
        <v>0</v>
      </c>
      <c r="J43" s="5" t="s">
        <v>75</v>
      </c>
      <c r="K43" s="7" t="s">
        <v>65</v>
      </c>
      <c r="L43" s="7"/>
      <c r="M43" s="7"/>
      <c r="N43" s="8" t="str">
        <f aca="false">IF(K43&lt;&gt;"PAIRED","",IF(M43&lt;&gt;"",M43,IF(L43="","",IFERROR(INDEX('Ứng viên'!$D$2:$D$238,MATCH(A43&amp;"-"&amp;L43,'Ứng viên'!$A$2:$A$238,0)),"⚠ số ứng viên không hợp lệ"))))</f>
        <v/>
      </c>
      <c r="O43" s="7" t="s">
        <v>237</v>
      </c>
      <c r="P43" s="7" t="s">
        <v>51</v>
      </c>
      <c r="Q43" s="7"/>
      <c r="R43" s="7"/>
      <c r="S43" s="7"/>
    </row>
    <row r="44" customFormat="false" ht="15" hidden="false" customHeight="false" outlineLevel="0" collapsed="false">
      <c r="A44" s="5" t="n">
        <v>43</v>
      </c>
      <c r="B44" s="5" t="s">
        <v>42</v>
      </c>
      <c r="C44" s="5" t="s">
        <v>233</v>
      </c>
      <c r="D44" s="5" t="s">
        <v>238</v>
      </c>
      <c r="E44" s="5" t="s">
        <v>239</v>
      </c>
      <c r="F44" s="5" t="s">
        <v>240</v>
      </c>
      <c r="G44" s="6" t="s">
        <v>47</v>
      </c>
      <c r="H44" s="5" t="n">
        <v>25</v>
      </c>
      <c r="I44" s="5" t="n">
        <f aca="false">COUNTIF('Ứng viên'!$B$2:$B$238,A44)</f>
        <v>3</v>
      </c>
      <c r="J44" s="5" t="s">
        <v>241</v>
      </c>
      <c r="K44" s="7" t="s">
        <v>65</v>
      </c>
      <c r="L44" s="7"/>
      <c r="M44" s="7"/>
      <c r="N44" s="8" t="str">
        <f aca="false">IF(K44&lt;&gt;"PAIRED","",IF(M44&lt;&gt;"",M44,IF(L44="","",IFERROR(INDEX('Ứng viên'!$D$2:$D$238,MATCH(A44&amp;"-"&amp;L44,'Ứng viên'!$A$2:$A$238,0)),"⚠ số ứng viên không hợp lệ"))))</f>
        <v/>
      </c>
      <c r="O44" s="7" t="s">
        <v>242</v>
      </c>
      <c r="P44" s="7" t="s">
        <v>51</v>
      </c>
      <c r="Q44" s="7"/>
      <c r="R44" s="7"/>
      <c r="S44" s="7"/>
    </row>
    <row r="45" customFormat="false" ht="15" hidden="false" customHeight="false" outlineLevel="0" collapsed="false">
      <c r="A45" s="5" t="n">
        <v>44</v>
      </c>
      <c r="B45" s="5" t="s">
        <v>243</v>
      </c>
      <c r="C45" s="5" t="s">
        <v>244</v>
      </c>
      <c r="D45" s="5" t="s">
        <v>245</v>
      </c>
      <c r="E45" s="5" t="s">
        <v>246</v>
      </c>
      <c r="F45" s="5" t="s">
        <v>247</v>
      </c>
      <c r="G45" s="6" t="s">
        <v>47</v>
      </c>
      <c r="H45" s="5" t="n">
        <v>20</v>
      </c>
      <c r="I45" s="5" t="n">
        <f aca="false">COUNTIF('Ứng viên'!$B$2:$B$238,A45)</f>
        <v>16</v>
      </c>
      <c r="J45" s="5" t="s">
        <v>248</v>
      </c>
      <c r="K45" s="7" t="s">
        <v>49</v>
      </c>
      <c r="L45" s="7" t="n">
        <v>1</v>
      </c>
      <c r="M45" s="7"/>
      <c r="N45" s="8" t="str">
        <f aca="false">IF(K45&lt;&gt;"PAIRED","",IF(M45&lt;&gt;"",M45,IF(L45="","",IFERROR(INDEX('Ứng viên'!$D$2:$D$238,MATCH(A45&amp;"-"&amp;L45,'Ứng viên'!$A$2:$A$238,0)),"⚠ số ứng viên không hợp lệ"))))</f>
        <v>src/test/java/me/gosimple/nbvcxz/NbvcxzTest.java</v>
      </c>
      <c r="O45" s="7" t="s">
        <v>249</v>
      </c>
      <c r="P45" s="7" t="s">
        <v>51</v>
      </c>
      <c r="Q45" s="7"/>
      <c r="R45" s="7"/>
      <c r="S45" s="7"/>
    </row>
    <row r="46" customFormat="false" ht="15" hidden="false" customHeight="false" outlineLevel="0" collapsed="false">
      <c r="A46" s="5" t="n">
        <v>45</v>
      </c>
      <c r="B46" s="5" t="s">
        <v>243</v>
      </c>
      <c r="C46" s="5" t="s">
        <v>244</v>
      </c>
      <c r="D46" s="5" t="s">
        <v>245</v>
      </c>
      <c r="E46" s="5" t="s">
        <v>250</v>
      </c>
      <c r="F46" s="5" t="s">
        <v>251</v>
      </c>
      <c r="G46" s="6" t="s">
        <v>47</v>
      </c>
      <c r="H46" s="5" t="n">
        <v>20</v>
      </c>
      <c r="I46" s="5" t="n">
        <f aca="false">COUNTIF('Ứng viên'!$B$2:$B$238,A46)</f>
        <v>2</v>
      </c>
      <c r="J46" s="5" t="s">
        <v>248</v>
      </c>
      <c r="K46" s="7" t="s">
        <v>65</v>
      </c>
      <c r="L46" s="7"/>
      <c r="M46" s="7"/>
      <c r="N46" s="8" t="str">
        <f aca="false">IF(K46&lt;&gt;"PAIRED","",IF(M46&lt;&gt;"",M46,IF(L46="","",IFERROR(INDEX('Ứng viên'!$D$2:$D$238,MATCH(A46&amp;"-"&amp;L46,'Ứng viên'!$A$2:$A$238,0)),"⚠ số ứng viên không hợp lệ"))))</f>
        <v/>
      </c>
      <c r="O46" s="7" t="s">
        <v>252</v>
      </c>
      <c r="P46" s="7" t="s">
        <v>51</v>
      </c>
      <c r="Q46" s="7"/>
      <c r="R46" s="7"/>
      <c r="S46" s="7"/>
    </row>
    <row r="47" customFormat="false" ht="15" hidden="false" customHeight="false" outlineLevel="0" collapsed="false">
      <c r="A47" s="5" t="n">
        <v>46</v>
      </c>
      <c r="B47" s="5" t="s">
        <v>243</v>
      </c>
      <c r="C47" s="5" t="s">
        <v>253</v>
      </c>
      <c r="D47" s="5" t="s">
        <v>254</v>
      </c>
      <c r="E47" s="5" t="s">
        <v>255</v>
      </c>
      <c r="F47" s="5" t="s">
        <v>256</v>
      </c>
      <c r="G47" s="6" t="s">
        <v>47</v>
      </c>
      <c r="H47" s="5" t="n">
        <v>18</v>
      </c>
      <c r="I47" s="5" t="n">
        <f aca="false">COUNTIF('Ứng viên'!$B$2:$B$238,A47)</f>
        <v>0</v>
      </c>
      <c r="J47" s="5" t="s">
        <v>75</v>
      </c>
      <c r="K47" s="7" t="s">
        <v>65</v>
      </c>
      <c r="L47" s="7"/>
      <c r="M47" s="7"/>
      <c r="N47" s="8" t="str">
        <f aca="false">IF(K47&lt;&gt;"PAIRED","",IF(M47&lt;&gt;"",M47,IF(L47="","",IFERROR(INDEX('Ứng viên'!$D$2:$D$238,MATCH(A47&amp;"-"&amp;L47,'Ứng viên'!$A$2:$A$238,0)),"⚠ số ứng viên không hợp lệ"))))</f>
        <v/>
      </c>
      <c r="O47" s="7" t="s">
        <v>257</v>
      </c>
      <c r="P47" s="7" t="s">
        <v>51</v>
      </c>
      <c r="Q47" s="7"/>
      <c r="R47" s="7"/>
      <c r="S47" s="7"/>
    </row>
    <row r="48" customFormat="false" ht="15" hidden="false" customHeight="false" outlineLevel="0" collapsed="false">
      <c r="A48" s="5" t="n">
        <v>47</v>
      </c>
      <c r="B48" s="5" t="s">
        <v>243</v>
      </c>
      <c r="C48" s="5" t="s">
        <v>253</v>
      </c>
      <c r="D48" s="5" t="s">
        <v>254</v>
      </c>
      <c r="E48" s="5" t="s">
        <v>258</v>
      </c>
      <c r="F48" s="5" t="s">
        <v>259</v>
      </c>
      <c r="G48" s="6" t="s">
        <v>47</v>
      </c>
      <c r="H48" s="5" t="n">
        <v>18</v>
      </c>
      <c r="I48" s="5" t="n">
        <f aca="false">COUNTIF('Ứng viên'!$B$2:$B$238,A48)</f>
        <v>0</v>
      </c>
      <c r="J48" s="5" t="s">
        <v>75</v>
      </c>
      <c r="K48" s="7" t="s">
        <v>65</v>
      </c>
      <c r="L48" s="7"/>
      <c r="M48" s="7"/>
      <c r="N48" s="8" t="str">
        <f aca="false">IF(K48&lt;&gt;"PAIRED","",IF(M48&lt;&gt;"",M48,IF(L48="","",IFERROR(INDEX('Ứng viên'!$D$2:$D$238,MATCH(A48&amp;"-"&amp;L48,'Ứng viên'!$A$2:$A$238,0)),"⚠ số ứng viên không hợp lệ"))))</f>
        <v/>
      </c>
      <c r="O48" s="7" t="s">
        <v>260</v>
      </c>
      <c r="P48" s="7" t="s">
        <v>51</v>
      </c>
      <c r="Q48" s="7"/>
      <c r="R48" s="7"/>
      <c r="S48" s="7"/>
    </row>
    <row r="49" customFormat="false" ht="15" hidden="false" customHeight="false" outlineLevel="0" collapsed="false">
      <c r="A49" s="5" t="n">
        <v>48</v>
      </c>
      <c r="B49" s="5" t="s">
        <v>243</v>
      </c>
      <c r="C49" s="5" t="s">
        <v>261</v>
      </c>
      <c r="D49" s="5" t="s">
        <v>262</v>
      </c>
      <c r="E49" s="5" t="s">
        <v>263</v>
      </c>
      <c r="F49" s="5" t="s">
        <v>264</v>
      </c>
      <c r="G49" s="6" t="s">
        <v>47</v>
      </c>
      <c r="H49" s="5" t="n">
        <v>62</v>
      </c>
      <c r="I49" s="5" t="n">
        <f aca="false">COUNTIF('Ứng viên'!$B$2:$B$238,A49)</f>
        <v>1</v>
      </c>
      <c r="J49" s="5" t="s">
        <v>265</v>
      </c>
      <c r="K49" s="7" t="s">
        <v>49</v>
      </c>
      <c r="L49" s="7" t="n">
        <v>1</v>
      </c>
      <c r="M49" s="7"/>
      <c r="N49" s="8" t="str">
        <f aca="false">IF(K49&lt;&gt;"PAIRED","",IF(M49&lt;&gt;"",M49,IF(L49="","",IFERROR(INDEX('Ứng viên'!$D$2:$D$238,MATCH(A49&amp;"-"&amp;L49,'Ứng viên'!$A$2:$A$238,0)),"⚠ số ứng viên không hợp lệ"))))</f>
        <v>src/test/java/org/jsoup/helper/HttpConnectionTest.java</v>
      </c>
      <c r="O49" s="7" t="s">
        <v>266</v>
      </c>
      <c r="P49" s="7" t="s">
        <v>51</v>
      </c>
      <c r="Q49" s="7"/>
      <c r="R49" s="7"/>
      <c r="S49" s="7"/>
    </row>
    <row r="50" customFormat="false" ht="15" hidden="false" customHeight="false" outlineLevel="0" collapsed="false">
      <c r="A50" s="5" t="n">
        <v>49</v>
      </c>
      <c r="B50" s="5" t="s">
        <v>243</v>
      </c>
      <c r="C50" s="5" t="s">
        <v>261</v>
      </c>
      <c r="D50" s="5" t="s">
        <v>267</v>
      </c>
      <c r="E50" s="5" t="s">
        <v>268</v>
      </c>
      <c r="F50" s="5" t="s">
        <v>269</v>
      </c>
      <c r="G50" s="6" t="s">
        <v>47</v>
      </c>
      <c r="H50" s="5" t="n">
        <v>62</v>
      </c>
      <c r="I50" s="5" t="n">
        <f aca="false">COUNTIF('Ứng viên'!$B$2:$B$238,A50)</f>
        <v>4</v>
      </c>
      <c r="J50" s="5" t="s">
        <v>270</v>
      </c>
      <c r="K50" s="7" t="s">
        <v>49</v>
      </c>
      <c r="L50" s="7" t="n">
        <v>1</v>
      </c>
      <c r="M50" s="7"/>
      <c r="N50" s="8" t="str">
        <f aca="false">IF(K50&lt;&gt;"PAIRED","",IF(M50&lt;&gt;"",M50,IF(L50="","",IFERROR(INDEX('Ứng viên'!$D$2:$D$238,MATCH(A50&amp;"-"&amp;L50,'Ứng viên'!$A$2:$A$238,0)),"⚠ số ứng viên không hợp lệ"))))</f>
        <v>src/test/java/org/jsoup/nodes/ElementTest.java</v>
      </c>
      <c r="O50" s="7" t="s">
        <v>271</v>
      </c>
      <c r="P50" s="7" t="s">
        <v>51</v>
      </c>
      <c r="Q50" s="7"/>
      <c r="R50" s="7"/>
      <c r="S50" s="7"/>
    </row>
    <row r="51" customFormat="false" ht="15" hidden="false" customHeight="false" outlineLevel="0" collapsed="false">
      <c r="A51" s="5" t="n">
        <v>50</v>
      </c>
      <c r="B51" s="5" t="s">
        <v>243</v>
      </c>
      <c r="C51" s="5" t="s">
        <v>261</v>
      </c>
      <c r="D51" s="5" t="s">
        <v>272</v>
      </c>
      <c r="E51" s="5" t="s">
        <v>263</v>
      </c>
      <c r="F51" s="5" t="s">
        <v>264</v>
      </c>
      <c r="G51" s="6" t="s">
        <v>47</v>
      </c>
      <c r="H51" s="5" t="n">
        <v>62</v>
      </c>
      <c r="I51" s="5" t="n">
        <f aca="false">COUNTIF('Ứng viên'!$B$2:$B$238,A51)</f>
        <v>1</v>
      </c>
      <c r="J51" s="5" t="s">
        <v>265</v>
      </c>
      <c r="K51" s="7" t="s">
        <v>49</v>
      </c>
      <c r="L51" s="7" t="n">
        <v>1</v>
      </c>
      <c r="M51" s="7"/>
      <c r="N51" s="8" t="str">
        <f aca="false">IF(K51&lt;&gt;"PAIRED","",IF(M51&lt;&gt;"",M51,IF(L51="","",IFERROR(INDEX('Ứng viên'!$D$2:$D$238,MATCH(A51&amp;"-"&amp;L51,'Ứng viên'!$A$2:$A$238,0)),"⚠ số ứng viên không hợp lệ"))))</f>
        <v>src/test/java/org/jsoup/helper/HttpConnectionTest.java</v>
      </c>
      <c r="O51" s="7" t="s">
        <v>273</v>
      </c>
      <c r="P51" s="7" t="s">
        <v>51</v>
      </c>
      <c r="Q51" s="7"/>
      <c r="R51" s="7"/>
      <c r="S51" s="7"/>
    </row>
    <row r="52" customFormat="false" ht="15" hidden="false" customHeight="false" outlineLevel="0" collapsed="false">
      <c r="A52" s="5" t="n">
        <v>51</v>
      </c>
      <c r="B52" s="5" t="s">
        <v>243</v>
      </c>
      <c r="C52" s="5" t="s">
        <v>261</v>
      </c>
      <c r="D52" s="5" t="s">
        <v>274</v>
      </c>
      <c r="E52" s="5" t="s">
        <v>275</v>
      </c>
      <c r="F52" s="5" t="s">
        <v>276</v>
      </c>
      <c r="G52" s="6" t="s">
        <v>47</v>
      </c>
      <c r="H52" s="5" t="n">
        <v>62</v>
      </c>
      <c r="I52" s="5" t="n">
        <f aca="false">COUNTIF('Ứng viên'!$B$2:$B$238,A52)</f>
        <v>2</v>
      </c>
      <c r="J52" s="5" t="s">
        <v>277</v>
      </c>
      <c r="K52" s="7" t="s">
        <v>65</v>
      </c>
      <c r="L52" s="7"/>
      <c r="M52" s="7"/>
      <c r="N52" s="8" t="str">
        <f aca="false">IF(K52&lt;&gt;"PAIRED","",IF(M52&lt;&gt;"",M52,IF(L52="","",IFERROR(INDEX('Ứng viên'!$D$2:$D$238,MATCH(A52&amp;"-"&amp;L52,'Ứng viên'!$A$2:$A$238,0)),"⚠ số ứng viên không hợp lệ"))))</f>
        <v/>
      </c>
      <c r="O52" s="7" t="s">
        <v>278</v>
      </c>
      <c r="P52" s="7" t="s">
        <v>51</v>
      </c>
      <c r="Q52" s="7"/>
      <c r="R52" s="7"/>
      <c r="S52" s="7"/>
    </row>
    <row r="53" customFormat="false" ht="15" hidden="false" customHeight="false" outlineLevel="0" collapsed="false">
      <c r="A53" s="5" t="n">
        <v>52</v>
      </c>
      <c r="B53" s="5" t="s">
        <v>243</v>
      </c>
      <c r="C53" s="5" t="s">
        <v>261</v>
      </c>
      <c r="D53" s="5" t="s">
        <v>279</v>
      </c>
      <c r="E53" s="5" t="s">
        <v>263</v>
      </c>
      <c r="F53" s="5" t="s">
        <v>264</v>
      </c>
      <c r="G53" s="6" t="s">
        <v>47</v>
      </c>
      <c r="H53" s="5" t="n">
        <v>62</v>
      </c>
      <c r="I53" s="5" t="n">
        <f aca="false">COUNTIF('Ứng viên'!$B$2:$B$238,A53)</f>
        <v>1</v>
      </c>
      <c r="J53" s="5" t="s">
        <v>265</v>
      </c>
      <c r="K53" s="7" t="s">
        <v>49</v>
      </c>
      <c r="L53" s="7" t="n">
        <v>1</v>
      </c>
      <c r="M53" s="7"/>
      <c r="N53" s="8" t="str">
        <f aca="false">IF(K53&lt;&gt;"PAIRED","",IF(M53&lt;&gt;"",M53,IF(L53="","",IFERROR(INDEX('Ứng viên'!$D$2:$D$238,MATCH(A53&amp;"-"&amp;L53,'Ứng viên'!$A$2:$A$238,0)),"⚠ số ứng viên không hợp lệ"))))</f>
        <v>src/test/java/org/jsoup/helper/HttpConnectionTest.java</v>
      </c>
      <c r="O53" s="7" t="s">
        <v>280</v>
      </c>
      <c r="P53" s="7" t="s">
        <v>51</v>
      </c>
      <c r="Q53" s="7"/>
      <c r="R53" s="7"/>
      <c r="S53" s="7"/>
    </row>
    <row r="54" customFormat="false" ht="15" hidden="false" customHeight="false" outlineLevel="0" collapsed="false">
      <c r="A54" s="5" t="n">
        <v>53</v>
      </c>
      <c r="B54" s="5" t="s">
        <v>243</v>
      </c>
      <c r="C54" s="5" t="s">
        <v>261</v>
      </c>
      <c r="D54" s="5" t="s">
        <v>281</v>
      </c>
      <c r="E54" s="5" t="s">
        <v>282</v>
      </c>
      <c r="F54" s="5" t="s">
        <v>283</v>
      </c>
      <c r="G54" s="6" t="s">
        <v>47</v>
      </c>
      <c r="H54" s="5" t="n">
        <v>62</v>
      </c>
      <c r="I54" s="5" t="n">
        <f aca="false">COUNTIF('Ứng viên'!$B$2:$B$238,A54)</f>
        <v>8</v>
      </c>
      <c r="J54" s="5" t="s">
        <v>265</v>
      </c>
      <c r="K54" s="7" t="s">
        <v>49</v>
      </c>
      <c r="L54" s="7" t="n">
        <v>1</v>
      </c>
      <c r="M54" s="7"/>
      <c r="N54" s="8" t="str">
        <f aca="false">IF(K54&lt;&gt;"PAIRED","",IF(M54&lt;&gt;"",M54,IF(L54="","",IFERROR(INDEX('Ứng viên'!$D$2:$D$238,MATCH(A54&amp;"-"&amp;L54,'Ứng viên'!$A$2:$A$238,0)),"⚠ số ứng viên không hợp lệ"))))</f>
        <v>src/test/java/org/jsoup/helper/HttpConnectionTest.java</v>
      </c>
      <c r="O54" s="7" t="s">
        <v>284</v>
      </c>
      <c r="P54" s="7" t="s">
        <v>51</v>
      </c>
      <c r="Q54" s="7"/>
      <c r="R54" s="7"/>
      <c r="S54" s="7"/>
    </row>
    <row r="55" customFormat="false" ht="15" hidden="false" customHeight="false" outlineLevel="0" collapsed="false">
      <c r="A55" s="5" t="n">
        <v>54</v>
      </c>
      <c r="B55" s="5" t="s">
        <v>243</v>
      </c>
      <c r="C55" s="5" t="s">
        <v>261</v>
      </c>
      <c r="D55" s="5" t="s">
        <v>285</v>
      </c>
      <c r="E55" s="5" t="s">
        <v>286</v>
      </c>
      <c r="F55" s="5" t="s">
        <v>287</v>
      </c>
      <c r="G55" s="6" t="s">
        <v>47</v>
      </c>
      <c r="H55" s="5" t="n">
        <v>62</v>
      </c>
      <c r="I55" s="5" t="n">
        <f aca="false">COUNTIF('Ứng viên'!$B$2:$B$238,A55)</f>
        <v>2</v>
      </c>
      <c r="J55" s="5" t="s">
        <v>288</v>
      </c>
      <c r="K55" s="7" t="s">
        <v>65</v>
      </c>
      <c r="L55" s="7"/>
      <c r="M55" s="7"/>
      <c r="N55" s="8" t="str">
        <f aca="false">IF(K55&lt;&gt;"PAIRED","",IF(M55&lt;&gt;"",M55,IF(L55="","",IFERROR(INDEX('Ứng viên'!$D$2:$D$238,MATCH(A55&amp;"-"&amp;L55,'Ứng viên'!$A$2:$A$238,0)),"⚠ số ứng viên không hợp lệ"))))</f>
        <v/>
      </c>
      <c r="O55" s="7" t="s">
        <v>289</v>
      </c>
      <c r="P55" s="7" t="s">
        <v>51</v>
      </c>
      <c r="Q55" s="7"/>
      <c r="R55" s="7"/>
      <c r="S55" s="7"/>
    </row>
    <row r="56" customFormat="false" ht="15" hidden="false" customHeight="false" outlineLevel="0" collapsed="false">
      <c r="A56" s="5" t="n">
        <v>55</v>
      </c>
      <c r="B56" s="5" t="s">
        <v>243</v>
      </c>
      <c r="C56" s="5" t="s">
        <v>290</v>
      </c>
      <c r="D56" s="5" t="s">
        <v>291</v>
      </c>
      <c r="E56" s="5" t="s">
        <v>292</v>
      </c>
      <c r="F56" s="5" t="s">
        <v>293</v>
      </c>
      <c r="G56" s="6" t="s">
        <v>47</v>
      </c>
      <c r="H56" s="5" t="n">
        <v>18</v>
      </c>
      <c r="I56" s="5" t="n">
        <f aca="false">COUNTIF('Ứng viên'!$B$2:$B$238,A56)</f>
        <v>2</v>
      </c>
      <c r="J56" s="5" t="s">
        <v>294</v>
      </c>
      <c r="K56" s="7" t="s">
        <v>65</v>
      </c>
      <c r="L56" s="7"/>
      <c r="M56" s="7"/>
      <c r="N56" s="8" t="str">
        <f aca="false">IF(K56&lt;&gt;"PAIRED","",IF(M56&lt;&gt;"",M56,IF(L56="","",IFERROR(INDEX('Ứng viên'!$D$2:$D$238,MATCH(A56&amp;"-"&amp;L56,'Ứng viên'!$A$2:$A$238,0)),"⚠ số ứng viên không hợp lệ"))))</f>
        <v/>
      </c>
      <c r="O56" s="7" t="s">
        <v>295</v>
      </c>
      <c r="P56" s="7" t="s">
        <v>51</v>
      </c>
      <c r="Q56" s="7"/>
      <c r="R56" s="7"/>
      <c r="S56" s="7"/>
    </row>
    <row r="57" customFormat="false" ht="15" hidden="false" customHeight="false" outlineLevel="0" collapsed="false">
      <c r="A57" s="5" t="n">
        <v>56</v>
      </c>
      <c r="B57" s="5" t="s">
        <v>243</v>
      </c>
      <c r="C57" s="5" t="s">
        <v>290</v>
      </c>
      <c r="D57" s="5" t="s">
        <v>291</v>
      </c>
      <c r="E57" s="5" t="s">
        <v>296</v>
      </c>
      <c r="F57" s="5" t="s">
        <v>297</v>
      </c>
      <c r="G57" s="6" t="s">
        <v>47</v>
      </c>
      <c r="H57" s="5" t="n">
        <v>18</v>
      </c>
      <c r="I57" s="5" t="n">
        <f aca="false">COUNTIF('Ứng viên'!$B$2:$B$238,A57)</f>
        <v>2</v>
      </c>
      <c r="J57" s="5" t="s">
        <v>294</v>
      </c>
      <c r="K57" s="7" t="s">
        <v>65</v>
      </c>
      <c r="L57" s="7"/>
      <c r="M57" s="7"/>
      <c r="N57" s="8" t="str">
        <f aca="false">IF(K57&lt;&gt;"PAIRED","",IF(M57&lt;&gt;"",M57,IF(L57="","",IFERROR(INDEX('Ứng viên'!$D$2:$D$238,MATCH(A57&amp;"-"&amp;L57,'Ứng viên'!$A$2:$A$238,0)),"⚠ số ứng viên không hợp lệ"))))</f>
        <v/>
      </c>
      <c r="O57" s="7" t="s">
        <v>298</v>
      </c>
      <c r="P57" s="7" t="s">
        <v>51</v>
      </c>
      <c r="Q57" s="7"/>
      <c r="R57" s="7"/>
      <c r="S57" s="7"/>
    </row>
    <row r="58" customFormat="false" ht="15" hidden="false" customHeight="false" outlineLevel="0" collapsed="false">
      <c r="A58" s="5" t="n">
        <v>57</v>
      </c>
      <c r="B58" s="5" t="s">
        <v>243</v>
      </c>
      <c r="C58" s="5" t="s">
        <v>290</v>
      </c>
      <c r="D58" s="5" t="s">
        <v>291</v>
      </c>
      <c r="E58" s="5" t="s">
        <v>299</v>
      </c>
      <c r="F58" s="5" t="s">
        <v>300</v>
      </c>
      <c r="G58" s="6" t="s">
        <v>47</v>
      </c>
      <c r="H58" s="5" t="n">
        <v>18</v>
      </c>
      <c r="I58" s="5" t="n">
        <f aca="false">COUNTIF('Ứng viên'!$B$2:$B$238,A58)</f>
        <v>2</v>
      </c>
      <c r="J58" s="5" t="s">
        <v>294</v>
      </c>
      <c r="K58" s="7" t="s">
        <v>65</v>
      </c>
      <c r="L58" s="7"/>
      <c r="M58" s="7"/>
      <c r="N58" s="8" t="str">
        <f aca="false">IF(K58&lt;&gt;"PAIRED","",IF(M58&lt;&gt;"",M58,IF(L58="","",IFERROR(INDEX('Ứng viên'!$D$2:$D$238,MATCH(A58&amp;"-"&amp;L58,'Ứng viên'!$A$2:$A$238,0)),"⚠ số ứng viên không hợp lệ"))))</f>
        <v/>
      </c>
      <c r="O58" s="7" t="s">
        <v>301</v>
      </c>
      <c r="P58" s="7" t="s">
        <v>51</v>
      </c>
      <c r="Q58" s="7"/>
      <c r="R58" s="7"/>
      <c r="S58" s="7"/>
    </row>
    <row r="59" customFormat="false" ht="15" hidden="false" customHeight="false" outlineLevel="0" collapsed="false">
      <c r="A59" s="5" t="n">
        <v>58</v>
      </c>
      <c r="B59" s="5" t="s">
        <v>243</v>
      </c>
      <c r="C59" s="5" t="s">
        <v>290</v>
      </c>
      <c r="D59" s="5" t="s">
        <v>291</v>
      </c>
      <c r="E59" s="5" t="s">
        <v>302</v>
      </c>
      <c r="F59" s="5" t="s">
        <v>303</v>
      </c>
      <c r="G59" s="6" t="s">
        <v>47</v>
      </c>
      <c r="H59" s="5" t="n">
        <v>18</v>
      </c>
      <c r="I59" s="5" t="n">
        <f aca="false">COUNTIF('Ứng viên'!$B$2:$B$238,A59)</f>
        <v>2</v>
      </c>
      <c r="J59" s="5" t="s">
        <v>294</v>
      </c>
      <c r="K59" s="7" t="s">
        <v>65</v>
      </c>
      <c r="L59" s="7"/>
      <c r="M59" s="7"/>
      <c r="N59" s="8" t="str">
        <f aca="false">IF(K59&lt;&gt;"PAIRED","",IF(M59&lt;&gt;"",M59,IF(L59="","",IFERROR(INDEX('Ứng viên'!$D$2:$D$238,MATCH(A59&amp;"-"&amp;L59,'Ứng viên'!$A$2:$A$238,0)),"⚠ số ứng viên không hợp lệ"))))</f>
        <v/>
      </c>
      <c r="O59" s="7" t="s">
        <v>304</v>
      </c>
      <c r="P59" s="7" t="s">
        <v>51</v>
      </c>
      <c r="Q59" s="7"/>
      <c r="R59" s="7"/>
      <c r="S59" s="7"/>
    </row>
    <row r="60" customFormat="false" ht="15" hidden="false" customHeight="false" outlineLevel="0" collapsed="false">
      <c r="A60" s="5" t="n">
        <v>59</v>
      </c>
      <c r="B60" s="5" t="s">
        <v>243</v>
      </c>
      <c r="C60" s="5" t="s">
        <v>290</v>
      </c>
      <c r="D60" s="5" t="s">
        <v>291</v>
      </c>
      <c r="E60" s="5" t="s">
        <v>305</v>
      </c>
      <c r="F60" s="5" t="s">
        <v>306</v>
      </c>
      <c r="G60" s="6" t="s">
        <v>47</v>
      </c>
      <c r="H60" s="5" t="n">
        <v>18</v>
      </c>
      <c r="I60" s="5" t="n">
        <f aca="false">COUNTIF('Ứng viên'!$B$2:$B$238,A60)</f>
        <v>2</v>
      </c>
      <c r="J60" s="5" t="s">
        <v>294</v>
      </c>
      <c r="K60" s="7" t="s">
        <v>65</v>
      </c>
      <c r="L60" s="7"/>
      <c r="M60" s="7"/>
      <c r="N60" s="8" t="str">
        <f aca="false">IF(K60&lt;&gt;"PAIRED","",IF(M60&lt;&gt;"",M60,IF(L60="","",IFERROR(INDEX('Ứng viên'!$D$2:$D$238,MATCH(A60&amp;"-"&amp;L60,'Ứng viên'!$A$2:$A$238,0)),"⚠ số ứng viên không hợp lệ"))))</f>
        <v/>
      </c>
      <c r="O60" s="7" t="s">
        <v>307</v>
      </c>
      <c r="P60" s="7" t="s">
        <v>51</v>
      </c>
      <c r="Q60" s="7"/>
      <c r="R60" s="7"/>
      <c r="S60" s="7"/>
    </row>
    <row r="61" customFormat="false" ht="15" hidden="false" customHeight="false" outlineLevel="0" collapsed="false">
      <c r="A61" s="5" t="n">
        <v>60</v>
      </c>
      <c r="B61" s="5" t="s">
        <v>243</v>
      </c>
      <c r="C61" s="5" t="s">
        <v>290</v>
      </c>
      <c r="D61" s="5" t="s">
        <v>291</v>
      </c>
      <c r="E61" s="5" t="s">
        <v>308</v>
      </c>
      <c r="F61" s="5" t="s">
        <v>309</v>
      </c>
      <c r="G61" s="6" t="s">
        <v>47</v>
      </c>
      <c r="H61" s="5" t="n">
        <v>18</v>
      </c>
      <c r="I61" s="5" t="n">
        <f aca="false">COUNTIF('Ứng viên'!$B$2:$B$238,A61)</f>
        <v>2</v>
      </c>
      <c r="J61" s="5" t="s">
        <v>294</v>
      </c>
      <c r="K61" s="7" t="s">
        <v>65</v>
      </c>
      <c r="L61" s="7"/>
      <c r="M61" s="7"/>
      <c r="N61" s="8" t="str">
        <f aca="false">IF(K61&lt;&gt;"PAIRED","",IF(M61&lt;&gt;"",M61,IF(L61="","",IFERROR(INDEX('Ứng viên'!$D$2:$D$238,MATCH(A61&amp;"-"&amp;L61,'Ứng viên'!$A$2:$A$238,0)),"⚠ số ứng viên không hợp lệ"))))</f>
        <v/>
      </c>
      <c r="O61" s="7" t="s">
        <v>310</v>
      </c>
      <c r="P61" s="7" t="s">
        <v>51</v>
      </c>
      <c r="Q61" s="7"/>
      <c r="R61" s="7"/>
      <c r="S61" s="7"/>
    </row>
    <row r="62" customFormat="false" ht="15" hidden="false" customHeight="false" outlineLevel="0" collapsed="false">
      <c r="A62" s="5" t="n">
        <v>61</v>
      </c>
      <c r="B62" s="5" t="s">
        <v>243</v>
      </c>
      <c r="C62" s="5" t="s">
        <v>290</v>
      </c>
      <c r="D62" s="5" t="s">
        <v>291</v>
      </c>
      <c r="E62" s="5" t="s">
        <v>311</v>
      </c>
      <c r="F62" s="5" t="s">
        <v>312</v>
      </c>
      <c r="G62" s="6" t="s">
        <v>47</v>
      </c>
      <c r="H62" s="5" t="n">
        <v>18</v>
      </c>
      <c r="I62" s="5" t="n">
        <f aca="false">COUNTIF('Ứng viên'!$B$2:$B$238,A62)</f>
        <v>2</v>
      </c>
      <c r="J62" s="5" t="s">
        <v>294</v>
      </c>
      <c r="K62" s="7" t="s">
        <v>65</v>
      </c>
      <c r="L62" s="7"/>
      <c r="M62" s="7"/>
      <c r="N62" s="8" t="str">
        <f aca="false">IF(K62&lt;&gt;"PAIRED","",IF(M62&lt;&gt;"",M62,IF(L62="","",IFERROR(INDEX('Ứng viên'!$D$2:$D$238,MATCH(A62&amp;"-"&amp;L62,'Ứng viên'!$A$2:$A$238,0)),"⚠ số ứng viên không hợp lệ"))))</f>
        <v/>
      </c>
      <c r="O62" s="7" t="s">
        <v>313</v>
      </c>
      <c r="P62" s="7" t="s">
        <v>51</v>
      </c>
      <c r="Q62" s="7"/>
      <c r="R62" s="7"/>
      <c r="S62" s="7"/>
    </row>
    <row r="63" customFormat="false" ht="15" hidden="false" customHeight="false" outlineLevel="0" collapsed="false">
      <c r="A63" s="5" t="n">
        <v>62</v>
      </c>
      <c r="B63" s="5" t="s">
        <v>243</v>
      </c>
      <c r="C63" s="5" t="s">
        <v>290</v>
      </c>
      <c r="D63" s="5" t="s">
        <v>291</v>
      </c>
      <c r="E63" s="5" t="s">
        <v>314</v>
      </c>
      <c r="F63" s="5" t="s">
        <v>315</v>
      </c>
      <c r="G63" s="6" t="s">
        <v>47</v>
      </c>
      <c r="H63" s="5" t="n">
        <v>18</v>
      </c>
      <c r="I63" s="5" t="n">
        <f aca="false">COUNTIF('Ứng viên'!$B$2:$B$238,A63)</f>
        <v>2</v>
      </c>
      <c r="J63" s="5" t="s">
        <v>294</v>
      </c>
      <c r="K63" s="7" t="s">
        <v>65</v>
      </c>
      <c r="L63" s="7"/>
      <c r="M63" s="7"/>
      <c r="N63" s="8" t="str">
        <f aca="false">IF(K63&lt;&gt;"PAIRED","",IF(M63&lt;&gt;"",M63,IF(L63="","",IFERROR(INDEX('Ứng viên'!$D$2:$D$238,MATCH(A63&amp;"-"&amp;L63,'Ứng viên'!$A$2:$A$238,0)),"⚠ số ứng viên không hợp lệ"))))</f>
        <v/>
      </c>
      <c r="O63" s="7" t="s">
        <v>316</v>
      </c>
      <c r="P63" s="7" t="s">
        <v>51</v>
      </c>
      <c r="Q63" s="7"/>
      <c r="R63" s="7"/>
      <c r="S63" s="7"/>
    </row>
    <row r="64" customFormat="false" ht="15" hidden="false" customHeight="false" outlineLevel="0" collapsed="false">
      <c r="A64" s="5" t="n">
        <v>63</v>
      </c>
      <c r="B64" s="5" t="s">
        <v>243</v>
      </c>
      <c r="C64" s="5" t="s">
        <v>290</v>
      </c>
      <c r="D64" s="5" t="s">
        <v>291</v>
      </c>
      <c r="E64" s="5" t="s">
        <v>317</v>
      </c>
      <c r="F64" s="5" t="s">
        <v>318</v>
      </c>
      <c r="G64" s="6" t="s">
        <v>47</v>
      </c>
      <c r="H64" s="5" t="n">
        <v>18</v>
      </c>
      <c r="I64" s="5" t="n">
        <f aca="false">COUNTIF('Ứng viên'!$B$2:$B$238,A64)</f>
        <v>2</v>
      </c>
      <c r="J64" s="5" t="s">
        <v>294</v>
      </c>
      <c r="K64" s="7" t="s">
        <v>65</v>
      </c>
      <c r="L64" s="7"/>
      <c r="M64" s="7"/>
      <c r="N64" s="8" t="str">
        <f aca="false">IF(K64&lt;&gt;"PAIRED","",IF(M64&lt;&gt;"",M64,IF(L64="","",IFERROR(INDEX('Ứng viên'!$D$2:$D$238,MATCH(A64&amp;"-"&amp;L64,'Ứng viên'!$A$2:$A$238,0)),"⚠ số ứng viên không hợp lệ"))))</f>
        <v/>
      </c>
      <c r="O64" s="7" t="s">
        <v>319</v>
      </c>
      <c r="P64" s="7" t="s">
        <v>51</v>
      </c>
      <c r="Q64" s="7"/>
      <c r="R64" s="7"/>
      <c r="S64" s="7"/>
    </row>
    <row r="65" customFormat="false" ht="15" hidden="false" customHeight="false" outlineLevel="0" collapsed="false">
      <c r="A65" s="5" t="n">
        <v>64</v>
      </c>
      <c r="B65" s="5" t="s">
        <v>243</v>
      </c>
      <c r="C65" s="5" t="s">
        <v>320</v>
      </c>
      <c r="D65" s="5" t="s">
        <v>321</v>
      </c>
      <c r="E65" s="5" t="s">
        <v>322</v>
      </c>
      <c r="F65" s="5" t="s">
        <v>323</v>
      </c>
      <c r="G65" s="6" t="s">
        <v>47</v>
      </c>
      <c r="H65" s="5" t="n">
        <v>382</v>
      </c>
      <c r="I65" s="5" t="n">
        <f aca="false">COUNTIF('Ứng viên'!$B$2:$B$238,A65)</f>
        <v>0</v>
      </c>
      <c r="J65" s="5" t="s">
        <v>75</v>
      </c>
      <c r="K65" s="7" t="s">
        <v>65</v>
      </c>
      <c r="L65" s="7"/>
      <c r="M65" s="7"/>
      <c r="N65" s="8" t="str">
        <f aca="false">IF(K65&lt;&gt;"PAIRED","",IF(M65&lt;&gt;"",M65,IF(L65="","",IFERROR(INDEX('Ứng viên'!$D$2:$D$238,MATCH(A65&amp;"-"&amp;L65,'Ứng viên'!$A$2:$A$238,0)),"⚠ số ứng viên không hợp lệ"))))</f>
        <v/>
      </c>
      <c r="O65" s="7" t="s">
        <v>324</v>
      </c>
      <c r="P65" s="7" t="s">
        <v>51</v>
      </c>
      <c r="Q65" s="7"/>
      <c r="R65" s="7"/>
      <c r="S65" s="7"/>
    </row>
    <row r="66" customFormat="false" ht="15" hidden="false" customHeight="false" outlineLevel="0" collapsed="false">
      <c r="A66" s="5" t="n">
        <v>65</v>
      </c>
      <c r="B66" s="5" t="s">
        <v>243</v>
      </c>
      <c r="C66" s="5" t="s">
        <v>320</v>
      </c>
      <c r="D66" s="5" t="s">
        <v>325</v>
      </c>
      <c r="E66" s="5" t="s">
        <v>326</v>
      </c>
      <c r="F66" s="5" t="s">
        <v>327</v>
      </c>
      <c r="G66" s="6" t="s">
        <v>47</v>
      </c>
      <c r="H66" s="5" t="n">
        <v>382</v>
      </c>
      <c r="I66" s="5" t="n">
        <f aca="false">COUNTIF('Ứng viên'!$B$2:$B$238,A66)</f>
        <v>0</v>
      </c>
      <c r="J66" s="5" t="s">
        <v>75</v>
      </c>
      <c r="K66" s="7" t="s">
        <v>65</v>
      </c>
      <c r="L66" s="7"/>
      <c r="M66" s="7"/>
      <c r="N66" s="8" t="str">
        <f aca="false">IF(K66&lt;&gt;"PAIRED","",IF(M66&lt;&gt;"",M66,IF(L66="","",IFERROR(INDEX('Ứng viên'!$D$2:$D$238,MATCH(A66&amp;"-"&amp;L66,'Ứng viên'!$A$2:$A$238,0)),"⚠ số ứng viên không hợp lệ"))))</f>
        <v/>
      </c>
      <c r="O66" s="7" t="s">
        <v>328</v>
      </c>
      <c r="P66" s="7" t="s">
        <v>51</v>
      </c>
      <c r="Q66" s="7"/>
      <c r="R66" s="7"/>
      <c r="S66" s="7"/>
    </row>
    <row r="67" customFormat="false" ht="15" hidden="false" customHeight="false" outlineLevel="0" collapsed="false">
      <c r="A67" s="5" t="n">
        <v>66</v>
      </c>
      <c r="B67" s="5" t="s">
        <v>243</v>
      </c>
      <c r="C67" s="5" t="s">
        <v>320</v>
      </c>
      <c r="D67" s="5" t="s">
        <v>329</v>
      </c>
      <c r="E67" s="5" t="s">
        <v>330</v>
      </c>
      <c r="F67" s="5" t="s">
        <v>331</v>
      </c>
      <c r="G67" s="6" t="s">
        <v>47</v>
      </c>
      <c r="H67" s="5" t="n">
        <v>386</v>
      </c>
      <c r="I67" s="5" t="n">
        <f aca="false">COUNTIF('Ứng viên'!$B$2:$B$238,A67)</f>
        <v>0</v>
      </c>
      <c r="J67" s="5" t="s">
        <v>75</v>
      </c>
      <c r="K67" s="7" t="s">
        <v>65</v>
      </c>
      <c r="L67" s="7"/>
      <c r="M67" s="7"/>
      <c r="N67" s="8" t="str">
        <f aca="false">IF(K67&lt;&gt;"PAIRED","",IF(M67&lt;&gt;"",M67,IF(L67="","",IFERROR(INDEX('Ứng viên'!$D$2:$D$238,MATCH(A67&amp;"-"&amp;L67,'Ứng viên'!$A$2:$A$238,0)),"⚠ số ứng viên không hợp lệ"))))</f>
        <v/>
      </c>
      <c r="O67" s="7" t="s">
        <v>332</v>
      </c>
      <c r="P67" s="7" t="s">
        <v>51</v>
      </c>
      <c r="Q67" s="7"/>
      <c r="R67" s="7"/>
      <c r="S67" s="7"/>
    </row>
    <row r="68" customFormat="false" ht="15" hidden="false" customHeight="false" outlineLevel="0" collapsed="false">
      <c r="A68" s="5" t="n">
        <v>67</v>
      </c>
      <c r="B68" s="5" t="s">
        <v>243</v>
      </c>
      <c r="C68" s="5" t="s">
        <v>320</v>
      </c>
      <c r="D68" s="5" t="s">
        <v>329</v>
      </c>
      <c r="E68" s="5" t="s">
        <v>333</v>
      </c>
      <c r="F68" s="5" t="s">
        <v>334</v>
      </c>
      <c r="G68" s="6" t="s">
        <v>47</v>
      </c>
      <c r="H68" s="5" t="n">
        <v>386</v>
      </c>
      <c r="I68" s="5" t="n">
        <f aca="false">COUNTIF('Ứng viên'!$B$2:$B$238,A68)</f>
        <v>0</v>
      </c>
      <c r="J68" s="5" t="s">
        <v>75</v>
      </c>
      <c r="K68" s="7" t="s">
        <v>65</v>
      </c>
      <c r="L68" s="7"/>
      <c r="M68" s="7"/>
      <c r="N68" s="8" t="str">
        <f aca="false">IF(K68&lt;&gt;"PAIRED","",IF(M68&lt;&gt;"",M68,IF(L68="","",IFERROR(INDEX('Ứng viên'!$D$2:$D$238,MATCH(A68&amp;"-"&amp;L68,'Ứng viên'!$A$2:$A$238,0)),"⚠ số ứng viên không hợp lệ"))))</f>
        <v/>
      </c>
      <c r="O68" s="7" t="s">
        <v>335</v>
      </c>
      <c r="P68" s="7" t="s">
        <v>51</v>
      </c>
      <c r="Q68" s="7"/>
      <c r="R68" s="7"/>
      <c r="S68" s="7"/>
    </row>
    <row r="69" customFormat="false" ht="15" hidden="false" customHeight="false" outlineLevel="0" collapsed="false">
      <c r="A69" s="5" t="n">
        <v>68</v>
      </c>
      <c r="B69" s="5" t="s">
        <v>243</v>
      </c>
      <c r="C69" s="5" t="s">
        <v>320</v>
      </c>
      <c r="D69" s="5" t="s">
        <v>329</v>
      </c>
      <c r="E69" s="5" t="s">
        <v>336</v>
      </c>
      <c r="F69" s="5" t="s">
        <v>337</v>
      </c>
      <c r="G69" s="6" t="s">
        <v>47</v>
      </c>
      <c r="H69" s="5" t="n">
        <v>386</v>
      </c>
      <c r="I69" s="5" t="n">
        <f aca="false">COUNTIF('Ứng viên'!$B$2:$B$238,A69)</f>
        <v>0</v>
      </c>
      <c r="J69" s="5" t="s">
        <v>75</v>
      </c>
      <c r="K69" s="7" t="s">
        <v>65</v>
      </c>
      <c r="L69" s="7"/>
      <c r="M69" s="7"/>
      <c r="N69" s="8" t="str">
        <f aca="false">IF(K69&lt;&gt;"PAIRED","",IF(M69&lt;&gt;"",M69,IF(L69="","",IFERROR(INDEX('Ứng viên'!$D$2:$D$238,MATCH(A69&amp;"-"&amp;L69,'Ứng viên'!$A$2:$A$238,0)),"⚠ số ứng viên không hợp lệ"))))</f>
        <v/>
      </c>
      <c r="O69" s="7" t="s">
        <v>338</v>
      </c>
      <c r="P69" s="7" t="s">
        <v>51</v>
      </c>
      <c r="Q69" s="7"/>
      <c r="R69" s="7"/>
      <c r="S69" s="7"/>
    </row>
    <row r="70" customFormat="false" ht="15" hidden="false" customHeight="false" outlineLevel="0" collapsed="false">
      <c r="A70" s="5" t="n">
        <v>69</v>
      </c>
      <c r="B70" s="5" t="s">
        <v>243</v>
      </c>
      <c r="C70" s="5" t="s">
        <v>320</v>
      </c>
      <c r="D70" s="5" t="s">
        <v>329</v>
      </c>
      <c r="E70" s="5" t="s">
        <v>339</v>
      </c>
      <c r="F70" s="5" t="s">
        <v>340</v>
      </c>
      <c r="G70" s="6" t="s">
        <v>47</v>
      </c>
      <c r="H70" s="5" t="n">
        <v>386</v>
      </c>
      <c r="I70" s="5" t="n">
        <f aca="false">COUNTIF('Ứng viên'!$B$2:$B$238,A70)</f>
        <v>0</v>
      </c>
      <c r="J70" s="5" t="s">
        <v>75</v>
      </c>
      <c r="K70" s="7" t="s">
        <v>65</v>
      </c>
      <c r="L70" s="7"/>
      <c r="M70" s="7"/>
      <c r="N70" s="8" t="str">
        <f aca="false">IF(K70&lt;&gt;"PAIRED","",IF(M70&lt;&gt;"",M70,IF(L70="","",IFERROR(INDEX('Ứng viên'!$D$2:$D$238,MATCH(A70&amp;"-"&amp;L70,'Ứng viên'!$A$2:$A$238,0)),"⚠ số ứng viên không hợp lệ"))))</f>
        <v/>
      </c>
      <c r="O70" s="7" t="s">
        <v>341</v>
      </c>
      <c r="P70" s="7" t="s">
        <v>51</v>
      </c>
      <c r="Q70" s="7"/>
      <c r="R70" s="7"/>
      <c r="S70" s="7"/>
    </row>
    <row r="71" customFormat="false" ht="15" hidden="false" customHeight="false" outlineLevel="0" collapsed="false">
      <c r="A71" s="5" t="n">
        <v>70</v>
      </c>
      <c r="B71" s="5" t="s">
        <v>243</v>
      </c>
      <c r="C71" s="5" t="s">
        <v>320</v>
      </c>
      <c r="D71" s="5" t="s">
        <v>329</v>
      </c>
      <c r="E71" s="5" t="s">
        <v>342</v>
      </c>
      <c r="F71" s="5" t="s">
        <v>343</v>
      </c>
      <c r="G71" s="6" t="s">
        <v>47</v>
      </c>
      <c r="H71" s="5" t="n">
        <v>386</v>
      </c>
      <c r="I71" s="5" t="n">
        <f aca="false">COUNTIF('Ứng viên'!$B$2:$B$238,A71)</f>
        <v>0</v>
      </c>
      <c r="J71" s="5" t="s">
        <v>75</v>
      </c>
      <c r="K71" s="7" t="s">
        <v>65</v>
      </c>
      <c r="L71" s="7"/>
      <c r="M71" s="7"/>
      <c r="N71" s="8" t="str">
        <f aca="false">IF(K71&lt;&gt;"PAIRED","",IF(M71&lt;&gt;"",M71,IF(L71="","",IFERROR(INDEX('Ứng viên'!$D$2:$D$238,MATCH(A71&amp;"-"&amp;L71,'Ứng viên'!$A$2:$A$238,0)),"⚠ số ứng viên không hợp lệ"))))</f>
        <v/>
      </c>
      <c r="O71" s="7" t="s">
        <v>344</v>
      </c>
      <c r="P71" s="7" t="s">
        <v>51</v>
      </c>
      <c r="Q71" s="7"/>
      <c r="R71" s="7"/>
      <c r="S71" s="7"/>
    </row>
    <row r="72" customFormat="false" ht="15" hidden="false" customHeight="false" outlineLevel="0" collapsed="false">
      <c r="A72" s="5" t="n">
        <v>71</v>
      </c>
      <c r="B72" s="5" t="s">
        <v>243</v>
      </c>
      <c r="C72" s="5" t="s">
        <v>320</v>
      </c>
      <c r="D72" s="5" t="s">
        <v>329</v>
      </c>
      <c r="E72" s="5" t="s">
        <v>345</v>
      </c>
      <c r="F72" s="5" t="s">
        <v>346</v>
      </c>
      <c r="G72" s="6" t="s">
        <v>47</v>
      </c>
      <c r="H72" s="5" t="n">
        <v>386</v>
      </c>
      <c r="I72" s="5" t="n">
        <f aca="false">COUNTIF('Ứng viên'!$B$2:$B$238,A72)</f>
        <v>0</v>
      </c>
      <c r="J72" s="5" t="s">
        <v>75</v>
      </c>
      <c r="K72" s="7" t="s">
        <v>65</v>
      </c>
      <c r="L72" s="7"/>
      <c r="M72" s="7"/>
      <c r="N72" s="8" t="str">
        <f aca="false">IF(K72&lt;&gt;"PAIRED","",IF(M72&lt;&gt;"",M72,IF(L72="","",IFERROR(INDEX('Ứng viên'!$D$2:$D$238,MATCH(A72&amp;"-"&amp;L72,'Ứng viên'!$A$2:$A$238,0)),"⚠ số ứng viên không hợp lệ"))))</f>
        <v/>
      </c>
      <c r="O72" s="7" t="s">
        <v>347</v>
      </c>
      <c r="P72" s="7" t="s">
        <v>51</v>
      </c>
      <c r="Q72" s="7"/>
      <c r="R72" s="7"/>
      <c r="S72" s="7"/>
    </row>
    <row r="73" customFormat="false" ht="15" hidden="false" customHeight="false" outlineLevel="0" collapsed="false">
      <c r="A73" s="5" t="n">
        <v>72</v>
      </c>
      <c r="B73" s="5" t="s">
        <v>243</v>
      </c>
      <c r="C73" s="5" t="s">
        <v>320</v>
      </c>
      <c r="D73" s="5" t="s">
        <v>348</v>
      </c>
      <c r="E73" s="5" t="s">
        <v>349</v>
      </c>
      <c r="F73" s="5" t="s">
        <v>350</v>
      </c>
      <c r="G73" s="6" t="s">
        <v>47</v>
      </c>
      <c r="H73" s="5" t="n">
        <v>382</v>
      </c>
      <c r="I73" s="5" t="n">
        <f aca="false">COUNTIF('Ứng viên'!$B$2:$B$238,A73)</f>
        <v>0</v>
      </c>
      <c r="J73" s="5" t="s">
        <v>75</v>
      </c>
      <c r="K73" s="7" t="s">
        <v>65</v>
      </c>
      <c r="L73" s="7"/>
      <c r="M73" s="7"/>
      <c r="N73" s="8" t="str">
        <f aca="false">IF(K73&lt;&gt;"PAIRED","",IF(M73&lt;&gt;"",M73,IF(L73="","",IFERROR(INDEX('Ứng viên'!$D$2:$D$238,MATCH(A73&amp;"-"&amp;L73,'Ứng viên'!$A$2:$A$238,0)),"⚠ số ứng viên không hợp lệ"))))</f>
        <v/>
      </c>
      <c r="O73" s="7" t="s">
        <v>351</v>
      </c>
      <c r="P73" s="7" t="s">
        <v>51</v>
      </c>
      <c r="Q73" s="7"/>
      <c r="R73" s="7"/>
      <c r="S73" s="7"/>
    </row>
    <row r="74" customFormat="false" ht="15" hidden="false" customHeight="false" outlineLevel="0" collapsed="false">
      <c r="A74" s="5" t="n">
        <v>73</v>
      </c>
      <c r="B74" s="5" t="s">
        <v>243</v>
      </c>
      <c r="C74" s="5" t="s">
        <v>320</v>
      </c>
      <c r="D74" s="5" t="s">
        <v>348</v>
      </c>
      <c r="E74" s="5" t="s">
        <v>352</v>
      </c>
      <c r="F74" s="5" t="s">
        <v>353</v>
      </c>
      <c r="G74" s="6" t="s">
        <v>47</v>
      </c>
      <c r="H74" s="5" t="n">
        <v>382</v>
      </c>
      <c r="I74" s="5" t="n">
        <f aca="false">COUNTIF('Ứng viên'!$B$2:$B$238,A74)</f>
        <v>0</v>
      </c>
      <c r="J74" s="5" t="s">
        <v>75</v>
      </c>
      <c r="K74" s="7" t="s">
        <v>65</v>
      </c>
      <c r="L74" s="7"/>
      <c r="M74" s="7"/>
      <c r="N74" s="8" t="str">
        <f aca="false">IF(K74&lt;&gt;"PAIRED","",IF(M74&lt;&gt;"",M74,IF(L74="","",IFERROR(INDEX('Ứng viên'!$D$2:$D$238,MATCH(A74&amp;"-"&amp;L74,'Ứng viên'!$A$2:$A$238,0)),"⚠ số ứng viên không hợp lệ"))))</f>
        <v/>
      </c>
      <c r="O74" s="7" t="s">
        <v>354</v>
      </c>
      <c r="P74" s="7" t="s">
        <v>51</v>
      </c>
      <c r="Q74" s="7"/>
      <c r="R74" s="7"/>
      <c r="S74" s="7"/>
    </row>
    <row r="75" customFormat="false" ht="15" hidden="false" customHeight="false" outlineLevel="0" collapsed="false">
      <c r="A75" s="5" t="n">
        <v>74</v>
      </c>
      <c r="B75" s="5" t="s">
        <v>243</v>
      </c>
      <c r="C75" s="5" t="s">
        <v>320</v>
      </c>
      <c r="D75" s="5" t="s">
        <v>348</v>
      </c>
      <c r="E75" s="5" t="s">
        <v>355</v>
      </c>
      <c r="F75" s="5" t="s">
        <v>356</v>
      </c>
      <c r="G75" s="6" t="s">
        <v>47</v>
      </c>
      <c r="H75" s="5" t="n">
        <v>382</v>
      </c>
      <c r="I75" s="5" t="n">
        <f aca="false">COUNTIF('Ứng viên'!$B$2:$B$238,A75)</f>
        <v>1</v>
      </c>
      <c r="J75" s="5" t="s">
        <v>357</v>
      </c>
      <c r="K75" s="7" t="s">
        <v>49</v>
      </c>
      <c r="L75" s="7" t="n">
        <v>1</v>
      </c>
      <c r="M75" s="7"/>
      <c r="N75" s="8" t="str">
        <f aca="false">IF(K75&lt;&gt;"PAIRED","",IF(M75&lt;&gt;"",M75,IF(L75="","",IFERROR(INDEX('Ứng viên'!$D$2:$D$238,MATCH(A75&amp;"-"&amp;L75,'Ứng viên'!$A$2:$A$238,0)),"⚠ số ứng viên không hợp lệ"))))</f>
        <v>src/test/java/org/traccar/handler/ComputedAttributesTest.java</v>
      </c>
      <c r="O75" s="7" t="s">
        <v>358</v>
      </c>
      <c r="P75" s="7" t="s">
        <v>51</v>
      </c>
      <c r="Q75" s="7"/>
      <c r="R75" s="7"/>
      <c r="S75" s="7"/>
    </row>
    <row r="76" customFormat="false" ht="15" hidden="false" customHeight="false" outlineLevel="0" collapsed="false">
      <c r="A76" s="5" t="n">
        <v>75</v>
      </c>
      <c r="B76" s="5" t="s">
        <v>243</v>
      </c>
      <c r="C76" s="5" t="s">
        <v>320</v>
      </c>
      <c r="D76" s="5" t="s">
        <v>348</v>
      </c>
      <c r="E76" s="5" t="s">
        <v>359</v>
      </c>
      <c r="F76" s="5" t="s">
        <v>360</v>
      </c>
      <c r="G76" s="6" t="s">
        <v>47</v>
      </c>
      <c r="H76" s="5" t="n">
        <v>382</v>
      </c>
      <c r="I76" s="5" t="n">
        <f aca="false">COUNTIF('Ứng viên'!$B$2:$B$238,A76)</f>
        <v>0</v>
      </c>
      <c r="J76" s="5" t="s">
        <v>75</v>
      </c>
      <c r="K76" s="7" t="s">
        <v>65</v>
      </c>
      <c r="L76" s="7"/>
      <c r="M76" s="7"/>
      <c r="N76" s="8" t="str">
        <f aca="false">IF(K76&lt;&gt;"PAIRED","",IF(M76&lt;&gt;"",M76,IF(L76="","",IFERROR(INDEX('Ứng viên'!$D$2:$D$238,MATCH(A76&amp;"-"&amp;L76,'Ứng viên'!$A$2:$A$238,0)),"⚠ số ứng viên không hợp lệ"))))</f>
        <v/>
      </c>
      <c r="O76" s="7" t="s">
        <v>361</v>
      </c>
      <c r="P76" s="7" t="s">
        <v>51</v>
      </c>
      <c r="Q76" s="7"/>
      <c r="R76" s="7"/>
      <c r="S76" s="7"/>
    </row>
    <row r="77" customFormat="false" ht="15" hidden="false" customHeight="false" outlineLevel="0" collapsed="false">
      <c r="A77" s="5" t="n">
        <v>76</v>
      </c>
      <c r="B77" s="5" t="s">
        <v>243</v>
      </c>
      <c r="C77" s="5" t="s">
        <v>320</v>
      </c>
      <c r="D77" s="5" t="s">
        <v>348</v>
      </c>
      <c r="E77" s="5" t="s">
        <v>322</v>
      </c>
      <c r="F77" s="5" t="s">
        <v>323</v>
      </c>
      <c r="G77" s="6" t="s">
        <v>47</v>
      </c>
      <c r="H77" s="5" t="n">
        <v>382</v>
      </c>
      <c r="I77" s="5" t="n">
        <f aca="false">COUNTIF('Ứng viên'!$B$2:$B$238,A77)</f>
        <v>0</v>
      </c>
      <c r="J77" s="5" t="s">
        <v>75</v>
      </c>
      <c r="K77" s="7" t="s">
        <v>65</v>
      </c>
      <c r="L77" s="7"/>
      <c r="M77" s="7"/>
      <c r="N77" s="8" t="str">
        <f aca="false">IF(K77&lt;&gt;"PAIRED","",IF(M77&lt;&gt;"",M77,IF(L77="","",IFERROR(INDEX('Ứng viên'!$D$2:$D$238,MATCH(A77&amp;"-"&amp;L77,'Ứng viên'!$A$2:$A$238,0)),"⚠ số ứng viên không hợp lệ"))))</f>
        <v/>
      </c>
      <c r="O77" s="7" t="s">
        <v>324</v>
      </c>
      <c r="P77" s="7" t="s">
        <v>51</v>
      </c>
      <c r="Q77" s="7"/>
      <c r="R77" s="7"/>
      <c r="S77" s="7"/>
    </row>
    <row r="78" customFormat="false" ht="15" hidden="false" customHeight="false" outlineLevel="0" collapsed="false">
      <c r="A78" s="5" t="n">
        <v>77</v>
      </c>
      <c r="B78" s="5" t="s">
        <v>243</v>
      </c>
      <c r="C78" s="5" t="s">
        <v>320</v>
      </c>
      <c r="D78" s="5" t="s">
        <v>348</v>
      </c>
      <c r="E78" s="5" t="s">
        <v>362</v>
      </c>
      <c r="F78" s="5" t="s">
        <v>363</v>
      </c>
      <c r="G78" s="6" t="s">
        <v>47</v>
      </c>
      <c r="H78" s="5" t="n">
        <v>382</v>
      </c>
      <c r="I78" s="5" t="n">
        <f aca="false">COUNTIF('Ứng viên'!$B$2:$B$238,A78)</f>
        <v>0</v>
      </c>
      <c r="J78" s="5" t="s">
        <v>75</v>
      </c>
      <c r="K78" s="7" t="s">
        <v>65</v>
      </c>
      <c r="L78" s="7"/>
      <c r="M78" s="7"/>
      <c r="N78" s="8" t="str">
        <f aca="false">IF(K78&lt;&gt;"PAIRED","",IF(M78&lt;&gt;"",M78,IF(L78="","",IFERROR(INDEX('Ứng viên'!$D$2:$D$238,MATCH(A78&amp;"-"&amp;L78,'Ứng viên'!$A$2:$A$238,0)),"⚠ số ứng viên không hợp lệ"))))</f>
        <v/>
      </c>
      <c r="O78" s="7" t="s">
        <v>364</v>
      </c>
      <c r="P78" s="7" t="s">
        <v>51</v>
      </c>
      <c r="Q78" s="7"/>
      <c r="R78" s="7"/>
      <c r="S78" s="7"/>
    </row>
    <row r="79" customFormat="false" ht="15" hidden="false" customHeight="false" outlineLevel="0" collapsed="false">
      <c r="A79" s="5" t="n">
        <v>78</v>
      </c>
      <c r="B79" s="5" t="s">
        <v>243</v>
      </c>
      <c r="C79" s="5" t="s">
        <v>320</v>
      </c>
      <c r="D79" s="5" t="s">
        <v>348</v>
      </c>
      <c r="E79" s="5" t="s">
        <v>365</v>
      </c>
      <c r="F79" s="5" t="s">
        <v>366</v>
      </c>
      <c r="G79" s="6" t="s">
        <v>47</v>
      </c>
      <c r="H79" s="5" t="n">
        <v>382</v>
      </c>
      <c r="I79" s="5" t="n">
        <f aca="false">COUNTIF('Ứng viên'!$B$2:$B$238,A79)</f>
        <v>0</v>
      </c>
      <c r="J79" s="5" t="s">
        <v>75</v>
      </c>
      <c r="K79" s="7" t="s">
        <v>65</v>
      </c>
      <c r="L79" s="7"/>
      <c r="M79" s="7"/>
      <c r="N79" s="8" t="str">
        <f aca="false">IF(K79&lt;&gt;"PAIRED","",IF(M79&lt;&gt;"",M79,IF(L79="","",IFERROR(INDEX('Ứng viên'!$D$2:$D$238,MATCH(A79&amp;"-"&amp;L79,'Ứng viên'!$A$2:$A$238,0)),"⚠ số ứng viên không hợp lệ"))))</f>
        <v/>
      </c>
      <c r="O79" s="7" t="s">
        <v>367</v>
      </c>
      <c r="P79" s="7" t="s">
        <v>51</v>
      </c>
      <c r="Q79" s="7"/>
      <c r="R79" s="7"/>
      <c r="S79" s="7"/>
    </row>
    <row r="80" customFormat="false" ht="15" hidden="false" customHeight="false" outlineLevel="0" collapsed="false">
      <c r="A80" s="5" t="n">
        <v>79</v>
      </c>
      <c r="B80" s="5" t="s">
        <v>243</v>
      </c>
      <c r="C80" s="5" t="s">
        <v>320</v>
      </c>
      <c r="D80" s="5" t="s">
        <v>348</v>
      </c>
      <c r="E80" s="5" t="s">
        <v>368</v>
      </c>
      <c r="F80" s="5" t="s">
        <v>369</v>
      </c>
      <c r="G80" s="6" t="s">
        <v>47</v>
      </c>
      <c r="H80" s="5" t="n">
        <v>382</v>
      </c>
      <c r="I80" s="5" t="n">
        <f aca="false">COUNTIF('Ứng viên'!$B$2:$B$238,A80)</f>
        <v>0</v>
      </c>
      <c r="J80" s="5" t="s">
        <v>75</v>
      </c>
      <c r="K80" s="7" t="s">
        <v>65</v>
      </c>
      <c r="L80" s="7"/>
      <c r="M80" s="7"/>
      <c r="N80" s="8" t="str">
        <f aca="false">IF(K80&lt;&gt;"PAIRED","",IF(M80&lt;&gt;"",M80,IF(L80="","",IFERROR(INDEX('Ứng viên'!$D$2:$D$238,MATCH(A80&amp;"-"&amp;L80,'Ứng viên'!$A$2:$A$238,0)),"⚠ số ứng viên không hợp lệ"))))</f>
        <v/>
      </c>
      <c r="O80" s="7" t="s">
        <v>370</v>
      </c>
      <c r="P80" s="7" t="s">
        <v>51</v>
      </c>
      <c r="Q80" s="7"/>
      <c r="R80" s="7"/>
      <c r="S80" s="7"/>
    </row>
    <row r="81" customFormat="false" ht="15" hidden="false" customHeight="false" outlineLevel="0" collapsed="false">
      <c r="A81" s="5" t="n">
        <v>80</v>
      </c>
      <c r="B81" s="5" t="s">
        <v>243</v>
      </c>
      <c r="C81" s="5" t="s">
        <v>320</v>
      </c>
      <c r="D81" s="5" t="s">
        <v>348</v>
      </c>
      <c r="E81" s="5" t="s">
        <v>371</v>
      </c>
      <c r="F81" s="5" t="s">
        <v>372</v>
      </c>
      <c r="G81" s="6" t="s">
        <v>47</v>
      </c>
      <c r="H81" s="5" t="n">
        <v>382</v>
      </c>
      <c r="I81" s="5" t="n">
        <f aca="false">COUNTIF('Ứng viên'!$B$2:$B$238,A81)</f>
        <v>0</v>
      </c>
      <c r="J81" s="5" t="s">
        <v>75</v>
      </c>
      <c r="K81" s="7" t="s">
        <v>65</v>
      </c>
      <c r="L81" s="7"/>
      <c r="M81" s="7"/>
      <c r="N81" s="8" t="str">
        <f aca="false">IF(K81&lt;&gt;"PAIRED","",IF(M81&lt;&gt;"",M81,IF(L81="","",IFERROR(INDEX('Ứng viên'!$D$2:$D$238,MATCH(A81&amp;"-"&amp;L81,'Ứng viên'!$A$2:$A$238,0)),"⚠ số ứng viên không hợp lệ"))))</f>
        <v/>
      </c>
      <c r="O81" s="7" t="s">
        <v>373</v>
      </c>
      <c r="P81" s="7" t="s">
        <v>51</v>
      </c>
      <c r="Q81" s="7"/>
      <c r="R81" s="7"/>
      <c r="S81" s="7"/>
    </row>
    <row r="82" customFormat="false" ht="15" hidden="false" customHeight="false" outlineLevel="0" collapsed="false">
      <c r="A82" s="5" t="n">
        <v>81</v>
      </c>
      <c r="B82" s="5" t="s">
        <v>243</v>
      </c>
      <c r="C82" s="5" t="s">
        <v>320</v>
      </c>
      <c r="D82" s="5" t="s">
        <v>348</v>
      </c>
      <c r="E82" s="5" t="s">
        <v>374</v>
      </c>
      <c r="F82" s="5" t="s">
        <v>375</v>
      </c>
      <c r="G82" s="6" t="s">
        <v>47</v>
      </c>
      <c r="H82" s="5" t="n">
        <v>382</v>
      </c>
      <c r="I82" s="5" t="n">
        <f aca="false">COUNTIF('Ứng viên'!$B$2:$B$238,A82)</f>
        <v>0</v>
      </c>
      <c r="J82" s="5" t="s">
        <v>75</v>
      </c>
      <c r="K82" s="7" t="s">
        <v>65</v>
      </c>
      <c r="L82" s="7"/>
      <c r="M82" s="7"/>
      <c r="N82" s="8" t="str">
        <f aca="false">IF(K82&lt;&gt;"PAIRED","",IF(M82&lt;&gt;"",M82,IF(L82="","",IFERROR(INDEX('Ứng viên'!$D$2:$D$238,MATCH(A82&amp;"-"&amp;L82,'Ứng viên'!$A$2:$A$238,0)),"⚠ số ứng viên không hợp lệ"))))</f>
        <v/>
      </c>
      <c r="O82" s="7" t="s">
        <v>376</v>
      </c>
      <c r="P82" s="7" t="s">
        <v>51</v>
      </c>
      <c r="Q82" s="7"/>
      <c r="R82" s="7"/>
      <c r="S82" s="7"/>
    </row>
    <row r="83" customFormat="false" ht="15" hidden="false" customHeight="false" outlineLevel="0" collapsed="false">
      <c r="A83" s="5" t="n">
        <v>82</v>
      </c>
      <c r="B83" s="5" t="s">
        <v>243</v>
      </c>
      <c r="C83" s="5" t="s">
        <v>320</v>
      </c>
      <c r="D83" s="5" t="s">
        <v>377</v>
      </c>
      <c r="E83" s="5" t="s">
        <v>378</v>
      </c>
      <c r="F83" s="5" t="s">
        <v>379</v>
      </c>
      <c r="G83" s="6" t="s">
        <v>47</v>
      </c>
      <c r="H83" s="5" t="n">
        <v>384</v>
      </c>
      <c r="I83" s="5" t="n">
        <f aca="false">COUNTIF('Ứng viên'!$B$2:$B$238,A83)</f>
        <v>0</v>
      </c>
      <c r="J83" s="5" t="s">
        <v>75</v>
      </c>
      <c r="K83" s="7" t="s">
        <v>65</v>
      </c>
      <c r="L83" s="7"/>
      <c r="M83" s="7"/>
      <c r="N83" s="8" t="str">
        <f aca="false">IF(K83&lt;&gt;"PAIRED","",IF(M83&lt;&gt;"",M83,IF(L83="","",IFERROR(INDEX('Ứng viên'!$D$2:$D$238,MATCH(A83&amp;"-"&amp;L83,'Ứng viên'!$A$2:$A$238,0)),"⚠ số ứng viên không hợp lệ"))))</f>
        <v/>
      </c>
      <c r="O83" s="7" t="s">
        <v>380</v>
      </c>
      <c r="P83" s="7" t="s">
        <v>51</v>
      </c>
      <c r="Q83" s="7"/>
      <c r="R83" s="7"/>
      <c r="S83" s="7"/>
    </row>
    <row r="84" customFormat="false" ht="15" hidden="false" customHeight="false" outlineLevel="0" collapsed="false">
      <c r="A84" s="5" t="n">
        <v>83</v>
      </c>
      <c r="B84" s="5" t="s">
        <v>243</v>
      </c>
      <c r="C84" s="5" t="s">
        <v>320</v>
      </c>
      <c r="D84" s="5" t="s">
        <v>381</v>
      </c>
      <c r="E84" s="5" t="s">
        <v>333</v>
      </c>
      <c r="F84" s="5" t="s">
        <v>334</v>
      </c>
      <c r="G84" s="6" t="s">
        <v>47</v>
      </c>
      <c r="H84" s="5" t="n">
        <v>386</v>
      </c>
      <c r="I84" s="5" t="n">
        <f aca="false">COUNTIF('Ứng viên'!$B$2:$B$238,A84)</f>
        <v>0</v>
      </c>
      <c r="J84" s="5" t="s">
        <v>75</v>
      </c>
      <c r="K84" s="7" t="s">
        <v>65</v>
      </c>
      <c r="L84" s="7"/>
      <c r="M84" s="7"/>
      <c r="N84" s="8" t="str">
        <f aca="false">IF(K84&lt;&gt;"PAIRED","",IF(M84&lt;&gt;"",M84,IF(L84="","",IFERROR(INDEX('Ứng viên'!$D$2:$D$238,MATCH(A84&amp;"-"&amp;L84,'Ứng viên'!$A$2:$A$238,0)),"⚠ số ứng viên không hợp lệ"))))</f>
        <v/>
      </c>
      <c r="O84" s="7" t="s">
        <v>335</v>
      </c>
      <c r="P84" s="7" t="s">
        <v>51</v>
      </c>
      <c r="Q84" s="7"/>
      <c r="R84" s="7"/>
      <c r="S84" s="7"/>
    </row>
  </sheetData>
  <autoFilter ref="A1:S84"/>
  <conditionalFormatting sqref="A2:S84">
    <cfRule type="expression" priority="2" aboveAverage="0" equalAverage="0" bottom="0" percent="0" rank="0" text="" dxfId="6">
      <formula>$K2="PAIRED"</formula>
    </cfRule>
    <cfRule type="expression" priority="3" aboveAverage="0" equalAverage="0" bottom="0" percent="0" rank="0" text="" dxfId="7">
      <formula>$K2="NONE"</formula>
    </cfRule>
  </conditionalFormatting>
  <dataValidations count="3">
    <dataValidation allowBlank="true" errorStyle="stop" operator="between" showDropDown="false" showErrorMessage="false" showInputMessage="false" sqref="K2:K84" type="list">
      <formula1>"PAIRED,NONE"</formula1>
      <formula2>0</formula2>
    </dataValidation>
    <dataValidation allowBlank="true" errorStyle="stop" operator="between" showDropDown="false" showErrorMessage="false" showInputMessage="false" sqref="L2:L84" type="whole">
      <formula1>1</formula1>
      <formula2>99</formula2>
    </dataValidation>
    <dataValidation allowBlank="true" errorStyle="stop" operator="between" showDropDown="false" showErrorMessage="false" showInputMessage="false" sqref="R2:R84" type="list">
      <formula1>"Có,Không"</formula1>
      <formula2>0</formula2>
    </dataValidation>
  </dataValidations>
  <hyperlinks>
    <hyperlink ref="G2" r:id="rId1" display="mở"/>
    <hyperlink ref="G3" r:id="rId2" display="mở"/>
    <hyperlink ref="G4" r:id="rId3" display="mở"/>
    <hyperlink ref="G5" r:id="rId4" display="mở"/>
    <hyperlink ref="G6" r:id="rId5" display="mở"/>
    <hyperlink ref="G7" r:id="rId6" display="mở"/>
    <hyperlink ref="G8" r:id="rId7" display="mở"/>
    <hyperlink ref="G9" r:id="rId8" display="mở"/>
    <hyperlink ref="G10" r:id="rId9" display="mở"/>
    <hyperlink ref="G11" r:id="rId10" display="mở"/>
    <hyperlink ref="G12" r:id="rId11" display="mở"/>
    <hyperlink ref="G13" r:id="rId12" display="mở"/>
    <hyperlink ref="G14" r:id="rId13" display="mở"/>
    <hyperlink ref="G15" r:id="rId14" display="mở"/>
    <hyperlink ref="G16" r:id="rId15" display="mở"/>
    <hyperlink ref="G17" r:id="rId16" display="mở"/>
    <hyperlink ref="G18" r:id="rId17" display="mở"/>
    <hyperlink ref="G19" r:id="rId18" display="mở"/>
    <hyperlink ref="G20" r:id="rId19" display="mở"/>
    <hyperlink ref="G21" r:id="rId20" display="mở"/>
    <hyperlink ref="G22" r:id="rId21" display="mở"/>
    <hyperlink ref="G23" r:id="rId22" display="mở"/>
    <hyperlink ref="G24" r:id="rId23" display="mở"/>
    <hyperlink ref="G25" r:id="rId24" display="mở"/>
    <hyperlink ref="G26" r:id="rId25" display="mở"/>
    <hyperlink ref="G27" r:id="rId26" display="mở"/>
    <hyperlink ref="G28" r:id="rId27" display="mở"/>
    <hyperlink ref="G29" r:id="rId28" display="mở"/>
    <hyperlink ref="G30" r:id="rId29" display="mở"/>
    <hyperlink ref="G31" r:id="rId30" display="mở"/>
    <hyperlink ref="G32" r:id="rId31" display="mở"/>
    <hyperlink ref="G33" r:id="rId32" display="mở"/>
    <hyperlink ref="G34" r:id="rId33" display="mở"/>
    <hyperlink ref="G35" r:id="rId34" display="mở"/>
    <hyperlink ref="G36" r:id="rId35" display="mở"/>
    <hyperlink ref="G37" r:id="rId36" display="mở"/>
    <hyperlink ref="G38" r:id="rId37" display="mở"/>
    <hyperlink ref="G39" r:id="rId38" display="mở"/>
    <hyperlink ref="G40" r:id="rId39" display="mở"/>
    <hyperlink ref="G41" r:id="rId40" display="mở"/>
    <hyperlink ref="G42" r:id="rId41" display="mở"/>
    <hyperlink ref="G43" r:id="rId42" display="mở"/>
    <hyperlink ref="G44" r:id="rId43" display="mở"/>
    <hyperlink ref="G45" r:id="rId44" display="mở"/>
    <hyperlink ref="G46" r:id="rId45" display="mở"/>
    <hyperlink ref="G47" r:id="rId46" display="mở"/>
    <hyperlink ref="G48" r:id="rId47" display="mở"/>
    <hyperlink ref="G49" r:id="rId48" display="mở"/>
    <hyperlink ref="G50" r:id="rId49" display="mở"/>
    <hyperlink ref="G51" r:id="rId50" display="mở"/>
    <hyperlink ref="G52" r:id="rId51" display="mở"/>
    <hyperlink ref="G53" r:id="rId52" display="mở"/>
    <hyperlink ref="G54" r:id="rId53" display="mở"/>
    <hyperlink ref="G55" r:id="rId54" display="mở"/>
    <hyperlink ref="G56" r:id="rId55" display="mở"/>
    <hyperlink ref="G57" r:id="rId56" display="mở"/>
    <hyperlink ref="G58" r:id="rId57" display="mở"/>
    <hyperlink ref="G59" r:id="rId58" display="mở"/>
    <hyperlink ref="G60" r:id="rId59" display="mở"/>
    <hyperlink ref="G61" r:id="rId60" display="mở"/>
    <hyperlink ref="G62" r:id="rId61" display="mở"/>
    <hyperlink ref="G63" r:id="rId62" display="mở"/>
    <hyperlink ref="G64" r:id="rId63" display="mở"/>
    <hyperlink ref="G65" r:id="rId64" display="mở"/>
    <hyperlink ref="G66" r:id="rId65" display="mở"/>
    <hyperlink ref="G67" r:id="rId66" display="mở"/>
    <hyperlink ref="G68" r:id="rId67" display="mở"/>
    <hyperlink ref="G69" r:id="rId68" display="mở"/>
    <hyperlink ref="G70" r:id="rId69" display="mở"/>
    <hyperlink ref="G71" r:id="rId70" display="mở"/>
    <hyperlink ref="G72" r:id="rId71" display="mở"/>
    <hyperlink ref="G73" r:id="rId72" display="mở"/>
    <hyperlink ref="G74" r:id="rId73" display="mở"/>
    <hyperlink ref="G75" r:id="rId74" display="mở"/>
    <hyperlink ref="G76" r:id="rId75" display="mở"/>
    <hyperlink ref="G77" r:id="rId76" display="mở"/>
    <hyperlink ref="G78" r:id="rId77" display="mở"/>
    <hyperlink ref="G79" r:id="rId78" display="mở"/>
    <hyperlink ref="G80" r:id="rId79" display="mở"/>
    <hyperlink ref="G81" r:id="rId80" display="mở"/>
    <hyperlink ref="G82" r:id="rId81" display="mở"/>
    <hyperlink ref="G83" r:id="rId82" display="mở"/>
    <hyperlink ref="G84" r:id="rId83" display="mở"/>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45"/>
  </cols>
  <sheetData>
    <row r="1" customFormat="false" ht="16.15" hidden="false" customHeight="false" outlineLevel="0" collapsed="false">
      <c r="A1" s="1" t="s">
        <v>382</v>
      </c>
    </row>
    <row r="3" customFormat="false" ht="15" hidden="false" customHeight="false" outlineLevel="0" collapsed="false">
      <c r="A3" s="4" t="s">
        <v>383</v>
      </c>
      <c r="B3" s="4" t="s">
        <v>384</v>
      </c>
      <c r="C3" s="4" t="s">
        <v>385</v>
      </c>
    </row>
    <row r="4" customFormat="false" ht="15" hidden="false" customHeight="false" outlineLevel="0" collapsed="false">
      <c r="A4" s="9" t="s">
        <v>386</v>
      </c>
      <c r="B4" s="9" t="n">
        <f aca="false">COUNTA(Label!$A$2:$A$84)</f>
        <v>83</v>
      </c>
      <c r="C4" s="9" t="s">
        <v>387</v>
      </c>
    </row>
    <row r="5" customFormat="false" ht="15" hidden="false" customHeight="false" outlineLevel="0" collapsed="false">
      <c r="A5" s="9" t="s">
        <v>388</v>
      </c>
      <c r="B5" s="9" t="n">
        <f aca="false">COUNTIF(Label!$K$2:$K$84,"PAIRED")+COUNTIF(Label!$K$2:$K$84,"NONE")</f>
        <v>83</v>
      </c>
      <c r="C5" s="9"/>
    </row>
    <row r="6" customFormat="false" ht="15" hidden="false" customHeight="false" outlineLevel="0" collapsed="false">
      <c r="A6" s="9" t="s">
        <v>49</v>
      </c>
      <c r="B6" s="9" t="n">
        <f aca="false">COUNTIF(Label!$K$2:$K$84,"PAIRED")</f>
        <v>22</v>
      </c>
      <c r="C6" s="9"/>
    </row>
    <row r="7" customFormat="false" ht="15" hidden="false" customHeight="false" outlineLevel="0" collapsed="false">
      <c r="A7" s="9" t="s">
        <v>65</v>
      </c>
      <c r="B7" s="9" t="n">
        <f aca="false">COUNTIF(Label!$K$2:$K$84,"NONE")</f>
        <v>61</v>
      </c>
      <c r="C7" s="9"/>
    </row>
    <row r="8" customFormat="false" ht="15" hidden="false" customHeight="false" outlineLevel="0" collapsed="false">
      <c r="A8" s="9" t="s">
        <v>389</v>
      </c>
      <c r="B8" s="9" t="n">
        <f aca="false">B4-B5</f>
        <v>0</v>
      </c>
      <c r="C8" s="9"/>
    </row>
    <row r="9" customFormat="false" ht="15" hidden="false" customHeight="false" outlineLevel="0" collapsed="false">
      <c r="A9" s="9" t="s">
        <v>390</v>
      </c>
      <c r="B9" s="9" t="n">
        <f aca="false">COUNTIFS(Label!$K$2:$K$84,"PAIRED",Label!$N$2:$N$84,"")+COUNTIF(Label!$N$2:$N$84,"⚠*")</f>
        <v>0</v>
      </c>
      <c r="C9" s="9" t="s">
        <v>391</v>
      </c>
    </row>
    <row r="10" customFormat="false" ht="15" hidden="false" customHeight="false" outlineLevel="0" collapsed="false">
      <c r="A10" s="9" t="s">
        <v>392</v>
      </c>
      <c r="B10" s="9" t="n">
        <f aca="false">COUNTIF(Label!$R$2:$R$84,"Có")+COUNTIF(Label!$R$2:$R$84,"Không")</f>
        <v>0</v>
      </c>
      <c r="C10" s="9"/>
    </row>
    <row r="11" customFormat="false" ht="15" hidden="false" customHeight="false" outlineLevel="0" collapsed="false">
      <c r="A11" s="9" t="s">
        <v>393</v>
      </c>
      <c r="B11" s="10" t="str">
        <f aca="false">IFERROR(COUNTIF(Label!$R$2:$R$84,"Có")/B10,"")</f>
        <v/>
      </c>
      <c r="C11" s="9" t="s">
        <v>394</v>
      </c>
    </row>
    <row r="12" customFormat="false" ht="15" hidden="false" customHeight="false" outlineLevel="0" collapsed="false">
      <c r="A12" s="9" t="s">
        <v>395</v>
      </c>
      <c r="B12" s="9" t="n">
        <f aca="false">SUMPRODUCT((LEFT(Label!$B$2:$B$84,1)="A")*(Label!$K$2:$K$84="PAIRED")/(COUNTIFS(Label!$C$2:$C$84,Label!$C$2:$C$84,Label!$K$2:$K$84,"PAIRED")+(Label!$K$2:$K$84&lt;&gt;"PAIRED")))</f>
        <v>10</v>
      </c>
      <c r="C12" s="9"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6"/>
    <col collapsed="false" customWidth="true" hidden="false" outlineLevel="0" max="4" min="4" style="0" width="80"/>
    <col collapsed="false" customWidth="true" hidden="false" outlineLevel="0" max="5" min="5" style="0" width="8"/>
    <col collapsed="false" customWidth="true" hidden="false" outlineLevel="0" max="6" min="6" style="0" width="10"/>
    <col collapsed="false" customWidth="true" hidden="false" outlineLevel="0" max="7" min="7" style="0" width="14"/>
    <col collapsed="false" customWidth="true" hidden="false" outlineLevel="0" max="8" min="8" style="0" width="50"/>
    <col collapsed="false" customWidth="true" hidden="false" outlineLevel="0" max="9" min="9" style="0" width="10"/>
    <col collapsed="false" customWidth="true" hidden="false" outlineLevel="0" max="10" min="10" style="0" width="70"/>
    <col collapsed="false" customWidth="true" hidden="false" outlineLevel="0" max="11" min="11" style="0" width="8"/>
  </cols>
  <sheetData>
    <row r="1" customFormat="false" ht="46.25" hidden="false" customHeight="false" outlineLevel="0" collapsed="false">
      <c r="A1" s="4" t="s">
        <v>397</v>
      </c>
      <c r="B1" s="4" t="s">
        <v>398</v>
      </c>
      <c r="C1" s="4" t="s">
        <v>399</v>
      </c>
      <c r="D1" s="4" t="s">
        <v>400</v>
      </c>
      <c r="E1" s="4" t="s">
        <v>401</v>
      </c>
      <c r="F1" s="4" t="s">
        <v>402</v>
      </c>
      <c r="G1" s="4" t="s">
        <v>403</v>
      </c>
      <c r="H1" s="4" t="s">
        <v>404</v>
      </c>
      <c r="I1" s="4" t="s">
        <v>405</v>
      </c>
      <c r="J1" s="4" t="s">
        <v>406</v>
      </c>
      <c r="K1" s="4" t="s">
        <v>407</v>
      </c>
    </row>
    <row r="2" customFormat="false" ht="15" hidden="false" customHeight="false" outlineLevel="0" collapsed="false">
      <c r="A2" s="5" t="s">
        <v>408</v>
      </c>
      <c r="B2" s="5" t="n">
        <v>1</v>
      </c>
      <c r="C2" s="5" t="n">
        <v>1</v>
      </c>
      <c r="D2" s="5" t="s">
        <v>48</v>
      </c>
      <c r="E2" s="5" t="s">
        <v>409</v>
      </c>
      <c r="F2" s="5" t="n">
        <v>14</v>
      </c>
      <c r="G2" s="5" t="n">
        <v>1</v>
      </c>
      <c r="H2" s="5" t="s">
        <v>410</v>
      </c>
      <c r="I2" s="5" t="s">
        <v>411</v>
      </c>
      <c r="J2" s="5" t="s">
        <v>412</v>
      </c>
      <c r="K2" s="11" t="s">
        <v>47</v>
      </c>
    </row>
    <row r="3" customFormat="false" ht="15" hidden="false" customHeight="false" outlineLevel="0" collapsed="false">
      <c r="A3" s="5" t="s">
        <v>413</v>
      </c>
      <c r="B3" s="5" t="n">
        <v>1</v>
      </c>
      <c r="C3" s="5" t="n">
        <v>2</v>
      </c>
      <c r="D3" s="5" t="s">
        <v>414</v>
      </c>
      <c r="E3" s="5" t="s">
        <v>409</v>
      </c>
      <c r="F3" s="5" t="n">
        <v>0</v>
      </c>
      <c r="G3" s="5" t="n">
        <v>0</v>
      </c>
      <c r="H3" s="5"/>
      <c r="I3" s="5" t="s">
        <v>411</v>
      </c>
      <c r="J3" s="5"/>
      <c r="K3" s="11" t="s">
        <v>47</v>
      </c>
    </row>
    <row r="4" customFormat="false" ht="15" hidden="false" customHeight="false" outlineLevel="0" collapsed="false">
      <c r="A4" s="5" t="s">
        <v>415</v>
      </c>
      <c r="B4" s="5" t="n">
        <v>1</v>
      </c>
      <c r="C4" s="5" t="n">
        <v>3</v>
      </c>
      <c r="D4" s="5" t="s">
        <v>416</v>
      </c>
      <c r="E4" s="5" t="s">
        <v>409</v>
      </c>
      <c r="F4" s="5" t="n">
        <v>0</v>
      </c>
      <c r="G4" s="5" t="n">
        <v>0</v>
      </c>
      <c r="H4" s="5"/>
      <c r="I4" s="5" t="s">
        <v>411</v>
      </c>
      <c r="J4" s="5"/>
      <c r="K4" s="11" t="s">
        <v>47</v>
      </c>
    </row>
    <row r="5" customFormat="false" ht="15" hidden="false" customHeight="false" outlineLevel="0" collapsed="false">
      <c r="A5" s="5" t="s">
        <v>417</v>
      </c>
      <c r="B5" s="5" t="n">
        <v>2</v>
      </c>
      <c r="C5" s="5" t="n">
        <v>1</v>
      </c>
      <c r="D5" s="5" t="s">
        <v>55</v>
      </c>
      <c r="E5" s="5" t="s">
        <v>409</v>
      </c>
      <c r="F5" s="5" t="n">
        <v>21</v>
      </c>
      <c r="G5" s="5" t="n">
        <v>4</v>
      </c>
      <c r="H5" s="5" t="s">
        <v>418</v>
      </c>
      <c r="I5" s="5" t="s">
        <v>411</v>
      </c>
      <c r="J5" s="5" t="s">
        <v>419</v>
      </c>
      <c r="K5" s="11" t="s">
        <v>47</v>
      </c>
    </row>
    <row r="6" customFormat="false" ht="15" hidden="false" customHeight="false" outlineLevel="0" collapsed="false">
      <c r="A6" s="5" t="s">
        <v>420</v>
      </c>
      <c r="B6" s="5" t="n">
        <v>2</v>
      </c>
      <c r="C6" s="5" t="n">
        <v>2</v>
      </c>
      <c r="D6" s="5" t="s">
        <v>421</v>
      </c>
      <c r="E6" s="5" t="s">
        <v>409</v>
      </c>
      <c r="F6" s="5" t="n">
        <v>0</v>
      </c>
      <c r="G6" s="5" t="n">
        <v>0</v>
      </c>
      <c r="H6" s="5"/>
      <c r="I6" s="5" t="s">
        <v>411</v>
      </c>
      <c r="J6" s="5"/>
      <c r="K6" s="11" t="s">
        <v>47</v>
      </c>
    </row>
    <row r="7" customFormat="false" ht="15" hidden="false" customHeight="false" outlineLevel="0" collapsed="false">
      <c r="A7" s="5" t="s">
        <v>422</v>
      </c>
      <c r="B7" s="5" t="n">
        <v>2</v>
      </c>
      <c r="C7" s="5" t="n">
        <v>3</v>
      </c>
      <c r="D7" s="5" t="s">
        <v>423</v>
      </c>
      <c r="E7" s="5" t="s">
        <v>409</v>
      </c>
      <c r="F7" s="5" t="n">
        <v>0</v>
      </c>
      <c r="G7" s="5" t="n">
        <v>0</v>
      </c>
      <c r="H7" s="5"/>
      <c r="I7" s="5" t="s">
        <v>411</v>
      </c>
      <c r="J7" s="5"/>
      <c r="K7" s="11" t="s">
        <v>47</v>
      </c>
    </row>
    <row r="8" customFormat="false" ht="15" hidden="false" customHeight="false" outlineLevel="0" collapsed="false">
      <c r="A8" s="5" t="s">
        <v>424</v>
      </c>
      <c r="B8" s="5" t="n">
        <v>2</v>
      </c>
      <c r="C8" s="5" t="n">
        <v>4</v>
      </c>
      <c r="D8" s="5" t="s">
        <v>425</v>
      </c>
      <c r="E8" s="5" t="s">
        <v>409</v>
      </c>
      <c r="F8" s="5" t="n">
        <v>0</v>
      </c>
      <c r="G8" s="5" t="n">
        <v>0</v>
      </c>
      <c r="H8" s="5"/>
      <c r="I8" s="5" t="s">
        <v>411</v>
      </c>
      <c r="J8" s="5"/>
      <c r="K8" s="11" t="s">
        <v>47</v>
      </c>
    </row>
    <row r="9" customFormat="false" ht="15" hidden="false" customHeight="false" outlineLevel="0" collapsed="false">
      <c r="A9" s="5" t="s">
        <v>426</v>
      </c>
      <c r="B9" s="5" t="n">
        <v>3</v>
      </c>
      <c r="C9" s="5" t="n">
        <v>1</v>
      </c>
      <c r="D9" s="5" t="s">
        <v>55</v>
      </c>
      <c r="E9" s="5" t="s">
        <v>409</v>
      </c>
      <c r="F9" s="5" t="n">
        <v>21</v>
      </c>
      <c r="G9" s="5" t="n">
        <v>1</v>
      </c>
      <c r="H9" s="5" t="s">
        <v>427</v>
      </c>
      <c r="I9" s="5" t="s">
        <v>411</v>
      </c>
      <c r="J9" s="5" t="s">
        <v>428</v>
      </c>
      <c r="K9" s="11" t="s">
        <v>47</v>
      </c>
    </row>
    <row r="10" customFormat="false" ht="15" hidden="false" customHeight="false" outlineLevel="0" collapsed="false">
      <c r="A10" s="5" t="s">
        <v>429</v>
      </c>
      <c r="B10" s="5" t="n">
        <v>3</v>
      </c>
      <c r="C10" s="5" t="n">
        <v>2</v>
      </c>
      <c r="D10" s="5" t="s">
        <v>430</v>
      </c>
      <c r="E10" s="5" t="s">
        <v>409</v>
      </c>
      <c r="F10" s="5" t="n">
        <v>0</v>
      </c>
      <c r="G10" s="5" t="n">
        <v>0</v>
      </c>
      <c r="H10" s="5"/>
      <c r="I10" s="5" t="s">
        <v>411</v>
      </c>
      <c r="J10" s="5"/>
      <c r="K10" s="11" t="s">
        <v>47</v>
      </c>
    </row>
    <row r="11" customFormat="false" ht="15" hidden="false" customHeight="false" outlineLevel="0" collapsed="false">
      <c r="A11" s="5" t="s">
        <v>431</v>
      </c>
      <c r="B11" s="5" t="n">
        <v>4</v>
      </c>
      <c r="C11" s="5" t="n">
        <v>1</v>
      </c>
      <c r="D11" s="5" t="s">
        <v>64</v>
      </c>
      <c r="E11" s="5" t="s">
        <v>409</v>
      </c>
      <c r="F11" s="5" t="n">
        <v>66</v>
      </c>
      <c r="G11" s="5" t="n">
        <v>0</v>
      </c>
      <c r="H11" s="5"/>
      <c r="I11" s="5" t="s">
        <v>432</v>
      </c>
      <c r="J11" s="5"/>
      <c r="K11" s="11" t="s">
        <v>47</v>
      </c>
    </row>
    <row r="12" customFormat="false" ht="15" hidden="false" customHeight="false" outlineLevel="0" collapsed="false">
      <c r="A12" s="5" t="s">
        <v>433</v>
      </c>
      <c r="B12" s="5" t="n">
        <v>5</v>
      </c>
      <c r="C12" s="5" t="n">
        <v>1</v>
      </c>
      <c r="D12" s="5" t="s">
        <v>64</v>
      </c>
      <c r="E12" s="5" t="s">
        <v>409</v>
      </c>
      <c r="F12" s="5" t="n">
        <v>66</v>
      </c>
      <c r="G12" s="5" t="n">
        <v>0</v>
      </c>
      <c r="H12" s="5"/>
      <c r="I12" s="5" t="s">
        <v>432</v>
      </c>
      <c r="J12" s="5"/>
      <c r="K12" s="11" t="s">
        <v>47</v>
      </c>
    </row>
    <row r="13" customFormat="false" ht="15" hidden="false" customHeight="false" outlineLevel="0" collapsed="false">
      <c r="A13" s="5" t="s">
        <v>434</v>
      </c>
      <c r="B13" s="5" t="n">
        <v>6</v>
      </c>
      <c r="C13" s="5" t="n">
        <v>1</v>
      </c>
      <c r="D13" s="5" t="s">
        <v>64</v>
      </c>
      <c r="E13" s="5" t="s">
        <v>409</v>
      </c>
      <c r="F13" s="5" t="n">
        <v>69</v>
      </c>
      <c r="G13" s="5" t="n">
        <v>0</v>
      </c>
      <c r="H13" s="5"/>
      <c r="I13" s="5" t="s">
        <v>432</v>
      </c>
      <c r="J13" s="5"/>
      <c r="K13" s="11" t="s">
        <v>47</v>
      </c>
    </row>
    <row r="14" customFormat="false" ht="15" hidden="false" customHeight="false" outlineLevel="0" collapsed="false">
      <c r="A14" s="5" t="s">
        <v>435</v>
      </c>
      <c r="B14" s="5" t="n">
        <v>8</v>
      </c>
      <c r="C14" s="5" t="n">
        <v>1</v>
      </c>
      <c r="D14" s="5" t="s">
        <v>81</v>
      </c>
      <c r="E14" s="5" t="s">
        <v>409</v>
      </c>
      <c r="F14" s="5" t="n">
        <v>1</v>
      </c>
      <c r="G14" s="5" t="n">
        <v>1</v>
      </c>
      <c r="H14" s="5" t="s">
        <v>436</v>
      </c>
      <c r="I14" s="5" t="s">
        <v>411</v>
      </c>
      <c r="J14" s="5" t="s">
        <v>437</v>
      </c>
      <c r="K14" s="11" t="s">
        <v>47</v>
      </c>
    </row>
    <row r="15" customFormat="false" ht="15" hidden="false" customHeight="false" outlineLevel="0" collapsed="false">
      <c r="A15" s="5" t="s">
        <v>438</v>
      </c>
      <c r="B15" s="5" t="n">
        <v>9</v>
      </c>
      <c r="C15" s="5" t="n">
        <v>1</v>
      </c>
      <c r="D15" s="5" t="s">
        <v>87</v>
      </c>
      <c r="E15" s="5" t="s">
        <v>439</v>
      </c>
      <c r="F15" s="5" t="n">
        <v>0</v>
      </c>
      <c r="G15" s="5" t="n">
        <v>0</v>
      </c>
      <c r="H15" s="5"/>
      <c r="I15" s="5" t="s">
        <v>432</v>
      </c>
      <c r="J15" s="5"/>
      <c r="K15" s="11" t="s">
        <v>47</v>
      </c>
    </row>
    <row r="16" customFormat="false" ht="15" hidden="false" customHeight="false" outlineLevel="0" collapsed="false">
      <c r="A16" s="5" t="s">
        <v>440</v>
      </c>
      <c r="B16" s="5" t="n">
        <v>13</v>
      </c>
      <c r="C16" s="5" t="n">
        <v>1</v>
      </c>
      <c r="D16" s="5" t="s">
        <v>104</v>
      </c>
      <c r="E16" s="5" t="s">
        <v>409</v>
      </c>
      <c r="F16" s="5" t="n">
        <v>4</v>
      </c>
      <c r="G16" s="5" t="n">
        <v>4</v>
      </c>
      <c r="H16" s="5" t="s">
        <v>441</v>
      </c>
      <c r="I16" s="5" t="s">
        <v>432</v>
      </c>
      <c r="J16" s="5" t="s">
        <v>442</v>
      </c>
      <c r="K16" s="11" t="s">
        <v>47</v>
      </c>
    </row>
    <row r="17" customFormat="false" ht="15" hidden="false" customHeight="false" outlineLevel="0" collapsed="false">
      <c r="A17" s="5" t="s">
        <v>443</v>
      </c>
      <c r="B17" s="5" t="n">
        <v>13</v>
      </c>
      <c r="C17" s="5" t="n">
        <v>2</v>
      </c>
      <c r="D17" s="5" t="s">
        <v>444</v>
      </c>
      <c r="E17" s="5" t="s">
        <v>409</v>
      </c>
      <c r="F17" s="5" t="n">
        <v>24</v>
      </c>
      <c r="G17" s="5" t="n">
        <v>2</v>
      </c>
      <c r="H17" s="5" t="s">
        <v>445</v>
      </c>
      <c r="I17" s="5" t="s">
        <v>432</v>
      </c>
      <c r="J17" s="5" t="s">
        <v>446</v>
      </c>
      <c r="K17" s="11" t="s">
        <v>47</v>
      </c>
    </row>
    <row r="18" customFormat="false" ht="15" hidden="false" customHeight="false" outlineLevel="0" collapsed="false">
      <c r="A18" s="5" t="s">
        <v>447</v>
      </c>
      <c r="B18" s="5" t="n">
        <v>13</v>
      </c>
      <c r="C18" s="5" t="n">
        <v>3</v>
      </c>
      <c r="D18" s="5" t="s">
        <v>448</v>
      </c>
      <c r="E18" s="5" t="s">
        <v>409</v>
      </c>
      <c r="F18" s="5" t="n">
        <v>29</v>
      </c>
      <c r="G18" s="5" t="n">
        <v>0</v>
      </c>
      <c r="H18" s="5"/>
      <c r="I18" s="5" t="s">
        <v>432</v>
      </c>
      <c r="J18" s="5"/>
      <c r="K18" s="11" t="s">
        <v>47</v>
      </c>
    </row>
    <row r="19" customFormat="false" ht="15" hidden="false" customHeight="false" outlineLevel="0" collapsed="false">
      <c r="A19" s="5" t="s">
        <v>449</v>
      </c>
      <c r="B19" s="5" t="n">
        <v>13</v>
      </c>
      <c r="C19" s="5" t="n">
        <v>4</v>
      </c>
      <c r="D19" s="5" t="s">
        <v>450</v>
      </c>
      <c r="E19" s="5" t="s">
        <v>409</v>
      </c>
      <c r="F19" s="5" t="n">
        <v>9</v>
      </c>
      <c r="G19" s="5" t="n">
        <v>0</v>
      </c>
      <c r="H19" s="5"/>
      <c r="I19" s="5" t="s">
        <v>432</v>
      </c>
      <c r="J19" s="5"/>
      <c r="K19" s="11" t="s">
        <v>47</v>
      </c>
    </row>
    <row r="20" customFormat="false" ht="15" hidden="false" customHeight="false" outlineLevel="0" collapsed="false">
      <c r="A20" s="5" t="s">
        <v>451</v>
      </c>
      <c r="B20" s="5" t="n">
        <v>13</v>
      </c>
      <c r="C20" s="5" t="n">
        <v>5</v>
      </c>
      <c r="D20" s="5" t="s">
        <v>452</v>
      </c>
      <c r="E20" s="5" t="s">
        <v>409</v>
      </c>
      <c r="F20" s="5" t="n">
        <v>3</v>
      </c>
      <c r="G20" s="5" t="n">
        <v>0</v>
      </c>
      <c r="H20" s="5"/>
      <c r="I20" s="5" t="s">
        <v>432</v>
      </c>
      <c r="J20" s="5"/>
      <c r="K20" s="11" t="s">
        <v>47</v>
      </c>
    </row>
    <row r="21" customFormat="false" ht="15" hidden="false" customHeight="false" outlineLevel="0" collapsed="false">
      <c r="A21" s="5" t="s">
        <v>453</v>
      </c>
      <c r="B21" s="5" t="n">
        <v>13</v>
      </c>
      <c r="C21" s="5" t="n">
        <v>6</v>
      </c>
      <c r="D21" s="5" t="s">
        <v>454</v>
      </c>
      <c r="E21" s="5" t="s">
        <v>409</v>
      </c>
      <c r="F21" s="5" t="n">
        <v>2</v>
      </c>
      <c r="G21" s="5" t="n">
        <v>0</v>
      </c>
      <c r="H21" s="5"/>
      <c r="I21" s="5" t="s">
        <v>432</v>
      </c>
      <c r="J21" s="5"/>
      <c r="K21" s="11" t="s">
        <v>47</v>
      </c>
    </row>
    <row r="22" customFormat="false" ht="15" hidden="false" customHeight="false" outlineLevel="0" collapsed="false">
      <c r="A22" s="5" t="s">
        <v>455</v>
      </c>
      <c r="B22" s="5" t="n">
        <v>18</v>
      </c>
      <c r="C22" s="5" t="n">
        <v>1</v>
      </c>
      <c r="D22" s="5" t="s">
        <v>129</v>
      </c>
      <c r="E22" s="5" t="s">
        <v>409</v>
      </c>
      <c r="F22" s="5" t="n">
        <v>0</v>
      </c>
      <c r="G22" s="5" t="n">
        <v>0</v>
      </c>
      <c r="H22" s="5"/>
      <c r="I22" s="5" t="s">
        <v>411</v>
      </c>
      <c r="J22" s="5"/>
      <c r="K22" s="11" t="s">
        <v>47</v>
      </c>
    </row>
    <row r="23" customFormat="false" ht="15" hidden="false" customHeight="false" outlineLevel="0" collapsed="false">
      <c r="A23" s="5" t="s">
        <v>456</v>
      </c>
      <c r="B23" s="5" t="n">
        <v>19</v>
      </c>
      <c r="C23" s="5" t="n">
        <v>1</v>
      </c>
      <c r="D23" s="5" t="s">
        <v>135</v>
      </c>
      <c r="E23" s="5" t="s">
        <v>409</v>
      </c>
      <c r="F23" s="5" t="n">
        <v>11</v>
      </c>
      <c r="G23" s="5" t="n">
        <v>9</v>
      </c>
      <c r="H23" s="5" t="s">
        <v>457</v>
      </c>
      <c r="I23" s="5" t="s">
        <v>432</v>
      </c>
      <c r="J23" s="5" t="s">
        <v>458</v>
      </c>
      <c r="K23" s="11" t="s">
        <v>47</v>
      </c>
    </row>
    <row r="24" customFormat="false" ht="15" hidden="false" customHeight="false" outlineLevel="0" collapsed="false">
      <c r="A24" s="5" t="s">
        <v>459</v>
      </c>
      <c r="B24" s="5" t="n">
        <v>19</v>
      </c>
      <c r="C24" s="5" t="n">
        <v>2</v>
      </c>
      <c r="D24" s="5" t="s">
        <v>460</v>
      </c>
      <c r="E24" s="5" t="s">
        <v>409</v>
      </c>
      <c r="F24" s="5" t="n">
        <v>9</v>
      </c>
      <c r="G24" s="5" t="n">
        <v>3</v>
      </c>
      <c r="H24" s="5" t="s">
        <v>461</v>
      </c>
      <c r="I24" s="5" t="s">
        <v>432</v>
      </c>
      <c r="J24" s="5" t="s">
        <v>462</v>
      </c>
      <c r="K24" s="11" t="s">
        <v>47</v>
      </c>
    </row>
    <row r="25" customFormat="false" ht="15" hidden="false" customHeight="false" outlineLevel="0" collapsed="false">
      <c r="A25" s="5" t="s">
        <v>463</v>
      </c>
      <c r="B25" s="5" t="n">
        <v>19</v>
      </c>
      <c r="C25" s="5" t="n">
        <v>3</v>
      </c>
      <c r="D25" s="5" t="s">
        <v>464</v>
      </c>
      <c r="E25" s="5" t="s">
        <v>409</v>
      </c>
      <c r="F25" s="5" t="n">
        <v>11</v>
      </c>
      <c r="G25" s="5" t="n">
        <v>2</v>
      </c>
      <c r="H25" s="5" t="s">
        <v>465</v>
      </c>
      <c r="I25" s="5" t="s">
        <v>432</v>
      </c>
      <c r="J25" s="5" t="s">
        <v>466</v>
      </c>
      <c r="K25" s="11" t="s">
        <v>47</v>
      </c>
    </row>
    <row r="26" customFormat="false" ht="15" hidden="false" customHeight="false" outlineLevel="0" collapsed="false">
      <c r="A26" s="5" t="s">
        <v>467</v>
      </c>
      <c r="B26" s="5" t="n">
        <v>19</v>
      </c>
      <c r="C26" s="5" t="n">
        <v>4</v>
      </c>
      <c r="D26" s="5" t="s">
        <v>468</v>
      </c>
      <c r="E26" s="5" t="s">
        <v>409</v>
      </c>
      <c r="F26" s="5" t="n">
        <v>4</v>
      </c>
      <c r="G26" s="5" t="n">
        <v>2</v>
      </c>
      <c r="H26" s="5" t="s">
        <v>469</v>
      </c>
      <c r="I26" s="5" t="s">
        <v>432</v>
      </c>
      <c r="J26" s="5" t="s">
        <v>470</v>
      </c>
      <c r="K26" s="11" t="s">
        <v>47</v>
      </c>
    </row>
    <row r="27" customFormat="false" ht="15" hidden="false" customHeight="false" outlineLevel="0" collapsed="false">
      <c r="A27" s="5" t="s">
        <v>471</v>
      </c>
      <c r="B27" s="5" t="n">
        <v>19</v>
      </c>
      <c r="C27" s="5" t="n">
        <v>5</v>
      </c>
      <c r="D27" s="5" t="s">
        <v>472</v>
      </c>
      <c r="E27" s="5" t="s">
        <v>409</v>
      </c>
      <c r="F27" s="5" t="n">
        <v>11</v>
      </c>
      <c r="G27" s="5" t="n">
        <v>1</v>
      </c>
      <c r="H27" s="5" t="s">
        <v>473</v>
      </c>
      <c r="I27" s="5" t="s">
        <v>432</v>
      </c>
      <c r="J27" s="5" t="s">
        <v>474</v>
      </c>
      <c r="K27" s="11" t="s">
        <v>47</v>
      </c>
    </row>
    <row r="28" customFormat="false" ht="15" hidden="false" customHeight="false" outlineLevel="0" collapsed="false">
      <c r="A28" s="5" t="s">
        <v>475</v>
      </c>
      <c r="B28" s="5" t="n">
        <v>19</v>
      </c>
      <c r="C28" s="5" t="n">
        <v>6</v>
      </c>
      <c r="D28" s="5" t="s">
        <v>476</v>
      </c>
      <c r="E28" s="5" t="s">
        <v>409</v>
      </c>
      <c r="F28" s="5" t="n">
        <v>9</v>
      </c>
      <c r="G28" s="5" t="n">
        <v>1</v>
      </c>
      <c r="H28" s="5" t="s">
        <v>477</v>
      </c>
      <c r="I28" s="5" t="s">
        <v>432</v>
      </c>
      <c r="J28" s="5" t="s">
        <v>478</v>
      </c>
      <c r="K28" s="11" t="s">
        <v>47</v>
      </c>
    </row>
    <row r="29" customFormat="false" ht="15" hidden="false" customHeight="false" outlineLevel="0" collapsed="false">
      <c r="A29" s="5" t="s">
        <v>479</v>
      </c>
      <c r="B29" s="5" t="n">
        <v>19</v>
      </c>
      <c r="C29" s="5" t="n">
        <v>7</v>
      </c>
      <c r="D29" s="5" t="s">
        <v>480</v>
      </c>
      <c r="E29" s="5" t="s">
        <v>409</v>
      </c>
      <c r="F29" s="5" t="n">
        <v>9</v>
      </c>
      <c r="G29" s="5" t="n">
        <v>1</v>
      </c>
      <c r="H29" s="5" t="s">
        <v>481</v>
      </c>
      <c r="I29" s="5" t="s">
        <v>432</v>
      </c>
      <c r="J29" s="5" t="s">
        <v>482</v>
      </c>
      <c r="K29" s="11" t="s">
        <v>47</v>
      </c>
    </row>
    <row r="30" customFormat="false" ht="15" hidden="false" customHeight="false" outlineLevel="0" collapsed="false">
      <c r="A30" s="5" t="s">
        <v>483</v>
      </c>
      <c r="B30" s="5" t="n">
        <v>19</v>
      </c>
      <c r="C30" s="5" t="n">
        <v>8</v>
      </c>
      <c r="D30" s="5" t="s">
        <v>484</v>
      </c>
      <c r="E30" s="5" t="s">
        <v>409</v>
      </c>
      <c r="F30" s="5" t="n">
        <v>5</v>
      </c>
      <c r="G30" s="5" t="n">
        <v>1</v>
      </c>
      <c r="H30" s="5" t="s">
        <v>485</v>
      </c>
      <c r="I30" s="5" t="s">
        <v>432</v>
      </c>
      <c r="J30" s="5" t="s">
        <v>486</v>
      </c>
      <c r="K30" s="11" t="s">
        <v>47</v>
      </c>
    </row>
    <row r="31" customFormat="false" ht="15" hidden="false" customHeight="false" outlineLevel="0" collapsed="false">
      <c r="A31" s="5" t="s">
        <v>487</v>
      </c>
      <c r="B31" s="5" t="n">
        <v>19</v>
      </c>
      <c r="C31" s="5" t="n">
        <v>9</v>
      </c>
      <c r="D31" s="5" t="s">
        <v>488</v>
      </c>
      <c r="E31" s="5" t="s">
        <v>409</v>
      </c>
      <c r="F31" s="5" t="n">
        <v>5</v>
      </c>
      <c r="G31" s="5" t="n">
        <v>1</v>
      </c>
      <c r="H31" s="5" t="s">
        <v>489</v>
      </c>
      <c r="I31" s="5" t="s">
        <v>432</v>
      </c>
      <c r="J31" s="5" t="s">
        <v>490</v>
      </c>
      <c r="K31" s="11" t="s">
        <v>47</v>
      </c>
    </row>
    <row r="32" customFormat="false" ht="15" hidden="false" customHeight="false" outlineLevel="0" collapsed="false">
      <c r="A32" s="5" t="s">
        <v>491</v>
      </c>
      <c r="B32" s="5" t="n">
        <v>19</v>
      </c>
      <c r="C32" s="5" t="n">
        <v>10</v>
      </c>
      <c r="D32" s="5" t="s">
        <v>492</v>
      </c>
      <c r="E32" s="5" t="s">
        <v>409</v>
      </c>
      <c r="F32" s="5" t="n">
        <v>0</v>
      </c>
      <c r="G32" s="5" t="n">
        <v>0</v>
      </c>
      <c r="H32" s="5"/>
      <c r="I32" s="5" t="s">
        <v>432</v>
      </c>
      <c r="J32" s="5"/>
      <c r="K32" s="11" t="s">
        <v>47</v>
      </c>
    </row>
    <row r="33" customFormat="false" ht="15" hidden="false" customHeight="false" outlineLevel="0" collapsed="false">
      <c r="A33" s="5" t="s">
        <v>493</v>
      </c>
      <c r="B33" s="5" t="n">
        <v>21</v>
      </c>
      <c r="C33" s="5" t="n">
        <v>1</v>
      </c>
      <c r="D33" s="5" t="s">
        <v>144</v>
      </c>
      <c r="E33" s="5" t="s">
        <v>409</v>
      </c>
      <c r="F33" s="5" t="n">
        <v>15</v>
      </c>
      <c r="G33" s="5" t="n">
        <v>13</v>
      </c>
      <c r="H33" s="5" t="s">
        <v>494</v>
      </c>
      <c r="I33" s="5" t="s">
        <v>411</v>
      </c>
      <c r="J33" s="5" t="s">
        <v>495</v>
      </c>
      <c r="K33" s="11" t="s">
        <v>47</v>
      </c>
    </row>
    <row r="34" customFormat="false" ht="15" hidden="false" customHeight="false" outlineLevel="0" collapsed="false">
      <c r="A34" s="5" t="s">
        <v>496</v>
      </c>
      <c r="B34" s="5" t="n">
        <v>21</v>
      </c>
      <c r="C34" s="5" t="n">
        <v>2</v>
      </c>
      <c r="D34" s="5" t="s">
        <v>497</v>
      </c>
      <c r="E34" s="5" t="s">
        <v>409</v>
      </c>
      <c r="F34" s="5" t="n">
        <v>27</v>
      </c>
      <c r="G34" s="5" t="n">
        <v>0</v>
      </c>
      <c r="H34" s="5"/>
      <c r="I34" s="5" t="s">
        <v>411</v>
      </c>
      <c r="J34" s="5"/>
      <c r="K34" s="11" t="s">
        <v>47</v>
      </c>
    </row>
    <row r="35" customFormat="false" ht="15" hidden="false" customHeight="false" outlineLevel="0" collapsed="false">
      <c r="A35" s="5" t="s">
        <v>498</v>
      </c>
      <c r="B35" s="5" t="n">
        <v>21</v>
      </c>
      <c r="C35" s="5" t="n">
        <v>3</v>
      </c>
      <c r="D35" s="5" t="s">
        <v>499</v>
      </c>
      <c r="E35" s="5" t="s">
        <v>409</v>
      </c>
      <c r="F35" s="5" t="n">
        <v>25</v>
      </c>
      <c r="G35" s="5" t="n">
        <v>0</v>
      </c>
      <c r="H35" s="5"/>
      <c r="I35" s="5" t="s">
        <v>411</v>
      </c>
      <c r="J35" s="5"/>
      <c r="K35" s="11" t="s">
        <v>47</v>
      </c>
    </row>
    <row r="36" customFormat="false" ht="15" hidden="false" customHeight="false" outlineLevel="0" collapsed="false">
      <c r="A36" s="5" t="s">
        <v>500</v>
      </c>
      <c r="B36" s="5" t="n">
        <v>26</v>
      </c>
      <c r="C36" s="5" t="n">
        <v>1</v>
      </c>
      <c r="D36" s="5" t="s">
        <v>163</v>
      </c>
      <c r="E36" s="5" t="s">
        <v>409</v>
      </c>
      <c r="F36" s="5" t="n">
        <v>13</v>
      </c>
      <c r="G36" s="5" t="n">
        <v>13</v>
      </c>
      <c r="H36" s="5" t="s">
        <v>501</v>
      </c>
      <c r="I36" s="5" t="s">
        <v>432</v>
      </c>
      <c r="J36" s="5" t="s">
        <v>502</v>
      </c>
      <c r="K36" s="11" t="s">
        <v>47</v>
      </c>
    </row>
    <row r="37" customFormat="false" ht="15" hidden="false" customHeight="false" outlineLevel="0" collapsed="false">
      <c r="A37" s="5" t="s">
        <v>503</v>
      </c>
      <c r="B37" s="5" t="n">
        <v>26</v>
      </c>
      <c r="C37" s="5" t="n">
        <v>2</v>
      </c>
      <c r="D37" s="5" t="s">
        <v>504</v>
      </c>
      <c r="E37" s="5" t="s">
        <v>409</v>
      </c>
      <c r="F37" s="5" t="n">
        <v>10</v>
      </c>
      <c r="G37" s="5" t="n">
        <v>9</v>
      </c>
      <c r="H37" s="5" t="s">
        <v>505</v>
      </c>
      <c r="I37" s="5" t="s">
        <v>432</v>
      </c>
      <c r="J37" s="5" t="s">
        <v>506</v>
      </c>
      <c r="K37" s="11" t="s">
        <v>47</v>
      </c>
    </row>
    <row r="38" customFormat="false" ht="15" hidden="false" customHeight="false" outlineLevel="0" collapsed="false">
      <c r="A38" s="5" t="s">
        <v>507</v>
      </c>
      <c r="B38" s="5" t="n">
        <v>26</v>
      </c>
      <c r="C38" s="5" t="n">
        <v>3</v>
      </c>
      <c r="D38" s="5" t="s">
        <v>508</v>
      </c>
      <c r="E38" s="5" t="s">
        <v>409</v>
      </c>
      <c r="F38" s="5" t="n">
        <v>8</v>
      </c>
      <c r="G38" s="5" t="n">
        <v>8</v>
      </c>
      <c r="H38" s="5" t="s">
        <v>509</v>
      </c>
      <c r="I38" s="5" t="s">
        <v>432</v>
      </c>
      <c r="J38" s="5" t="s">
        <v>510</v>
      </c>
      <c r="K38" s="11" t="s">
        <v>47</v>
      </c>
    </row>
    <row r="39" customFormat="false" ht="15" hidden="false" customHeight="false" outlineLevel="0" collapsed="false">
      <c r="A39" s="5" t="s">
        <v>511</v>
      </c>
      <c r="B39" s="5" t="n">
        <v>26</v>
      </c>
      <c r="C39" s="5" t="n">
        <v>4</v>
      </c>
      <c r="D39" s="5" t="s">
        <v>512</v>
      </c>
      <c r="E39" s="5" t="s">
        <v>409</v>
      </c>
      <c r="F39" s="5" t="n">
        <v>9</v>
      </c>
      <c r="G39" s="5" t="n">
        <v>7</v>
      </c>
      <c r="H39" s="5" t="s">
        <v>513</v>
      </c>
      <c r="I39" s="5" t="s">
        <v>432</v>
      </c>
      <c r="J39" s="5" t="s">
        <v>514</v>
      </c>
      <c r="K39" s="11" t="s">
        <v>47</v>
      </c>
    </row>
    <row r="40" customFormat="false" ht="15" hidden="false" customHeight="false" outlineLevel="0" collapsed="false">
      <c r="A40" s="5" t="s">
        <v>515</v>
      </c>
      <c r="B40" s="5" t="n">
        <v>26</v>
      </c>
      <c r="C40" s="5" t="n">
        <v>5</v>
      </c>
      <c r="D40" s="5" t="s">
        <v>516</v>
      </c>
      <c r="E40" s="5" t="s">
        <v>409</v>
      </c>
      <c r="F40" s="5" t="n">
        <v>6</v>
      </c>
      <c r="G40" s="5" t="n">
        <v>5</v>
      </c>
      <c r="H40" s="5" t="s">
        <v>517</v>
      </c>
      <c r="I40" s="5" t="s">
        <v>411</v>
      </c>
      <c r="J40" s="5" t="s">
        <v>518</v>
      </c>
      <c r="K40" s="11" t="s">
        <v>47</v>
      </c>
    </row>
    <row r="41" customFormat="false" ht="15" hidden="false" customHeight="false" outlineLevel="0" collapsed="false">
      <c r="A41" s="5" t="s">
        <v>519</v>
      </c>
      <c r="B41" s="5" t="n">
        <v>26</v>
      </c>
      <c r="C41" s="5" t="n">
        <v>6</v>
      </c>
      <c r="D41" s="5" t="s">
        <v>520</v>
      </c>
      <c r="E41" s="5" t="s">
        <v>409</v>
      </c>
      <c r="F41" s="5" t="n">
        <v>5</v>
      </c>
      <c r="G41" s="5" t="n">
        <v>5</v>
      </c>
      <c r="H41" s="5" t="s">
        <v>521</v>
      </c>
      <c r="I41" s="5" t="s">
        <v>432</v>
      </c>
      <c r="J41" s="5" t="s">
        <v>522</v>
      </c>
      <c r="K41" s="11" t="s">
        <v>47</v>
      </c>
    </row>
    <row r="42" customFormat="false" ht="15" hidden="false" customHeight="false" outlineLevel="0" collapsed="false">
      <c r="A42" s="5" t="s">
        <v>523</v>
      </c>
      <c r="B42" s="5" t="n">
        <v>26</v>
      </c>
      <c r="C42" s="5" t="n">
        <v>7</v>
      </c>
      <c r="D42" s="5" t="s">
        <v>524</v>
      </c>
      <c r="E42" s="5" t="s">
        <v>409</v>
      </c>
      <c r="F42" s="5" t="n">
        <v>10</v>
      </c>
      <c r="G42" s="5" t="n">
        <v>4</v>
      </c>
      <c r="H42" s="5" t="s">
        <v>525</v>
      </c>
      <c r="I42" s="5" t="s">
        <v>411</v>
      </c>
      <c r="J42" s="5" t="s">
        <v>526</v>
      </c>
      <c r="K42" s="11" t="s">
        <v>47</v>
      </c>
    </row>
    <row r="43" customFormat="false" ht="15" hidden="false" customHeight="false" outlineLevel="0" collapsed="false">
      <c r="A43" s="5" t="s">
        <v>527</v>
      </c>
      <c r="B43" s="5" t="n">
        <v>26</v>
      </c>
      <c r="C43" s="5" t="n">
        <v>8</v>
      </c>
      <c r="D43" s="5" t="s">
        <v>528</v>
      </c>
      <c r="E43" s="5" t="s">
        <v>409</v>
      </c>
      <c r="F43" s="5" t="n">
        <v>5</v>
      </c>
      <c r="G43" s="5" t="n">
        <v>3</v>
      </c>
      <c r="H43" s="5" t="s">
        <v>529</v>
      </c>
      <c r="I43" s="5" t="s">
        <v>411</v>
      </c>
      <c r="J43" s="5" t="s">
        <v>530</v>
      </c>
      <c r="K43" s="11" t="s">
        <v>47</v>
      </c>
    </row>
    <row r="44" customFormat="false" ht="15" hidden="false" customHeight="false" outlineLevel="0" collapsed="false">
      <c r="A44" s="5" t="s">
        <v>531</v>
      </c>
      <c r="B44" s="5" t="n">
        <v>26</v>
      </c>
      <c r="C44" s="5" t="n">
        <v>9</v>
      </c>
      <c r="D44" s="5" t="s">
        <v>532</v>
      </c>
      <c r="E44" s="5" t="s">
        <v>409</v>
      </c>
      <c r="F44" s="5" t="n">
        <v>4</v>
      </c>
      <c r="G44" s="5" t="n">
        <v>3</v>
      </c>
      <c r="H44" s="5" t="s">
        <v>533</v>
      </c>
      <c r="I44" s="5" t="s">
        <v>411</v>
      </c>
      <c r="J44" s="5" t="s">
        <v>534</v>
      </c>
      <c r="K44" s="11" t="s">
        <v>47</v>
      </c>
    </row>
    <row r="45" customFormat="false" ht="15" hidden="false" customHeight="false" outlineLevel="0" collapsed="false">
      <c r="A45" s="5" t="s">
        <v>535</v>
      </c>
      <c r="B45" s="5" t="n">
        <v>26</v>
      </c>
      <c r="C45" s="5" t="n">
        <v>10</v>
      </c>
      <c r="D45" s="5" t="s">
        <v>536</v>
      </c>
      <c r="E45" s="5" t="s">
        <v>409</v>
      </c>
      <c r="F45" s="5" t="n">
        <v>3</v>
      </c>
      <c r="G45" s="5" t="n">
        <v>3</v>
      </c>
      <c r="H45" s="5" t="s">
        <v>537</v>
      </c>
      <c r="I45" s="5" t="s">
        <v>411</v>
      </c>
      <c r="J45" s="5" t="s">
        <v>538</v>
      </c>
      <c r="K45" s="11" t="s">
        <v>47</v>
      </c>
    </row>
    <row r="46" customFormat="false" ht="15" hidden="false" customHeight="false" outlineLevel="0" collapsed="false">
      <c r="A46" s="5" t="s">
        <v>539</v>
      </c>
      <c r="B46" s="5" t="n">
        <v>26</v>
      </c>
      <c r="C46" s="5" t="n">
        <v>11</v>
      </c>
      <c r="D46" s="5" t="s">
        <v>540</v>
      </c>
      <c r="E46" s="5" t="s">
        <v>409</v>
      </c>
      <c r="F46" s="5" t="n">
        <v>3</v>
      </c>
      <c r="G46" s="5" t="n">
        <v>3</v>
      </c>
      <c r="H46" s="5" t="s">
        <v>541</v>
      </c>
      <c r="I46" s="5" t="s">
        <v>411</v>
      </c>
      <c r="J46" s="5" t="s">
        <v>542</v>
      </c>
      <c r="K46" s="11" t="s">
        <v>47</v>
      </c>
    </row>
    <row r="47" customFormat="false" ht="15" hidden="false" customHeight="false" outlineLevel="0" collapsed="false">
      <c r="A47" s="5" t="s">
        <v>543</v>
      </c>
      <c r="B47" s="5" t="n">
        <v>26</v>
      </c>
      <c r="C47" s="5" t="n">
        <v>12</v>
      </c>
      <c r="D47" s="5" t="s">
        <v>544</v>
      </c>
      <c r="E47" s="5" t="s">
        <v>409</v>
      </c>
      <c r="F47" s="5" t="n">
        <v>3</v>
      </c>
      <c r="G47" s="5" t="n">
        <v>2</v>
      </c>
      <c r="H47" s="5" t="s">
        <v>545</v>
      </c>
      <c r="I47" s="5" t="s">
        <v>411</v>
      </c>
      <c r="J47" s="5" t="s">
        <v>546</v>
      </c>
      <c r="K47" s="11" t="s">
        <v>47</v>
      </c>
    </row>
    <row r="48" customFormat="false" ht="15" hidden="false" customHeight="false" outlineLevel="0" collapsed="false">
      <c r="A48" s="5" t="s">
        <v>547</v>
      </c>
      <c r="B48" s="5" t="n">
        <v>26</v>
      </c>
      <c r="C48" s="5" t="n">
        <v>13</v>
      </c>
      <c r="D48" s="5" t="s">
        <v>548</v>
      </c>
      <c r="E48" s="5" t="s">
        <v>409</v>
      </c>
      <c r="F48" s="5" t="n">
        <v>3</v>
      </c>
      <c r="G48" s="5" t="n">
        <v>2</v>
      </c>
      <c r="H48" s="5" t="s">
        <v>549</v>
      </c>
      <c r="I48" s="5" t="s">
        <v>411</v>
      </c>
      <c r="J48" s="5" t="s">
        <v>550</v>
      </c>
      <c r="K48" s="11" t="s">
        <v>47</v>
      </c>
    </row>
    <row r="49" customFormat="false" ht="15" hidden="false" customHeight="false" outlineLevel="0" collapsed="false">
      <c r="A49" s="5" t="s">
        <v>551</v>
      </c>
      <c r="B49" s="5" t="n">
        <v>26</v>
      </c>
      <c r="C49" s="5" t="n">
        <v>14</v>
      </c>
      <c r="D49" s="5" t="s">
        <v>552</v>
      </c>
      <c r="E49" s="5" t="s">
        <v>409</v>
      </c>
      <c r="F49" s="5" t="n">
        <v>3</v>
      </c>
      <c r="G49" s="5" t="n">
        <v>2</v>
      </c>
      <c r="H49" s="5" t="s">
        <v>553</v>
      </c>
      <c r="I49" s="5" t="s">
        <v>411</v>
      </c>
      <c r="J49" s="5" t="s">
        <v>554</v>
      </c>
      <c r="K49" s="11" t="s">
        <v>47</v>
      </c>
    </row>
    <row r="50" customFormat="false" ht="15" hidden="false" customHeight="false" outlineLevel="0" collapsed="false">
      <c r="A50" s="5" t="s">
        <v>555</v>
      </c>
      <c r="B50" s="5" t="n">
        <v>26</v>
      </c>
      <c r="C50" s="5" t="n">
        <v>15</v>
      </c>
      <c r="D50" s="5" t="s">
        <v>556</v>
      </c>
      <c r="E50" s="5" t="s">
        <v>409</v>
      </c>
      <c r="F50" s="5" t="n">
        <v>2</v>
      </c>
      <c r="G50" s="5" t="n">
        <v>2</v>
      </c>
      <c r="H50" s="5" t="s">
        <v>557</v>
      </c>
      <c r="I50" s="5" t="s">
        <v>411</v>
      </c>
      <c r="J50" s="5" t="s">
        <v>558</v>
      </c>
      <c r="K50" s="11" t="s">
        <v>47</v>
      </c>
    </row>
    <row r="51" customFormat="false" ht="15" hidden="false" customHeight="false" outlineLevel="0" collapsed="false">
      <c r="A51" s="5" t="s">
        <v>559</v>
      </c>
      <c r="B51" s="5" t="n">
        <v>26</v>
      </c>
      <c r="C51" s="5" t="n">
        <v>16</v>
      </c>
      <c r="D51" s="5" t="s">
        <v>560</v>
      </c>
      <c r="E51" s="5" t="s">
        <v>409</v>
      </c>
      <c r="F51" s="5" t="n">
        <v>2</v>
      </c>
      <c r="G51" s="5" t="n">
        <v>2</v>
      </c>
      <c r="H51" s="5" t="s">
        <v>561</v>
      </c>
      <c r="I51" s="5" t="s">
        <v>411</v>
      </c>
      <c r="J51" s="5" t="s">
        <v>562</v>
      </c>
      <c r="K51" s="11" t="s">
        <v>47</v>
      </c>
    </row>
    <row r="52" customFormat="false" ht="15" hidden="false" customHeight="false" outlineLevel="0" collapsed="false">
      <c r="A52" s="5" t="s">
        <v>563</v>
      </c>
      <c r="B52" s="5" t="n">
        <v>26</v>
      </c>
      <c r="C52" s="5" t="n">
        <v>17</v>
      </c>
      <c r="D52" s="5" t="s">
        <v>564</v>
      </c>
      <c r="E52" s="5" t="s">
        <v>409</v>
      </c>
      <c r="F52" s="5" t="n">
        <v>2</v>
      </c>
      <c r="G52" s="5" t="n">
        <v>2</v>
      </c>
      <c r="H52" s="5" t="s">
        <v>565</v>
      </c>
      <c r="I52" s="5" t="s">
        <v>411</v>
      </c>
      <c r="J52" s="5" t="s">
        <v>566</v>
      </c>
      <c r="K52" s="11" t="s">
        <v>47</v>
      </c>
    </row>
    <row r="53" customFormat="false" ht="15" hidden="false" customHeight="false" outlineLevel="0" collapsed="false">
      <c r="A53" s="5" t="s">
        <v>567</v>
      </c>
      <c r="B53" s="5" t="n">
        <v>26</v>
      </c>
      <c r="C53" s="5" t="n">
        <v>18</v>
      </c>
      <c r="D53" s="5" t="s">
        <v>568</v>
      </c>
      <c r="E53" s="5" t="s">
        <v>409</v>
      </c>
      <c r="F53" s="5" t="n">
        <v>2</v>
      </c>
      <c r="G53" s="5" t="n">
        <v>2</v>
      </c>
      <c r="H53" s="5" t="s">
        <v>569</v>
      </c>
      <c r="I53" s="5" t="s">
        <v>411</v>
      </c>
      <c r="J53" s="5" t="s">
        <v>570</v>
      </c>
      <c r="K53" s="11" t="s">
        <v>47</v>
      </c>
    </row>
    <row r="54" customFormat="false" ht="15" hidden="false" customHeight="false" outlineLevel="0" collapsed="false">
      <c r="A54" s="5" t="s">
        <v>571</v>
      </c>
      <c r="B54" s="5" t="n">
        <v>26</v>
      </c>
      <c r="C54" s="5" t="n">
        <v>19</v>
      </c>
      <c r="D54" s="5" t="s">
        <v>572</v>
      </c>
      <c r="E54" s="5" t="s">
        <v>409</v>
      </c>
      <c r="F54" s="5" t="n">
        <v>2</v>
      </c>
      <c r="G54" s="5" t="n">
        <v>1</v>
      </c>
      <c r="H54" s="5" t="s">
        <v>573</v>
      </c>
      <c r="I54" s="5" t="s">
        <v>411</v>
      </c>
      <c r="J54" s="5" t="s">
        <v>574</v>
      </c>
      <c r="K54" s="11" t="s">
        <v>47</v>
      </c>
    </row>
    <row r="55" customFormat="false" ht="15" hidden="false" customHeight="false" outlineLevel="0" collapsed="false">
      <c r="A55" s="5" t="s">
        <v>575</v>
      </c>
      <c r="B55" s="5" t="n">
        <v>26</v>
      </c>
      <c r="C55" s="5" t="n">
        <v>20</v>
      </c>
      <c r="D55" s="5" t="s">
        <v>576</v>
      </c>
      <c r="E55" s="5" t="s">
        <v>409</v>
      </c>
      <c r="F55" s="5" t="n">
        <v>2</v>
      </c>
      <c r="G55" s="5" t="n">
        <v>1</v>
      </c>
      <c r="H55" s="5" t="s">
        <v>577</v>
      </c>
      <c r="I55" s="5" t="s">
        <v>411</v>
      </c>
      <c r="J55" s="5" t="s">
        <v>578</v>
      </c>
      <c r="K55" s="11" t="s">
        <v>47</v>
      </c>
    </row>
    <row r="56" customFormat="false" ht="15" hidden="false" customHeight="false" outlineLevel="0" collapsed="false">
      <c r="A56" s="5" t="s">
        <v>579</v>
      </c>
      <c r="B56" s="5" t="n">
        <v>26</v>
      </c>
      <c r="C56" s="5" t="n">
        <v>21</v>
      </c>
      <c r="D56" s="5" t="s">
        <v>580</v>
      </c>
      <c r="E56" s="5" t="s">
        <v>409</v>
      </c>
      <c r="F56" s="5" t="n">
        <v>2</v>
      </c>
      <c r="G56" s="5" t="n">
        <v>1</v>
      </c>
      <c r="H56" s="5" t="s">
        <v>581</v>
      </c>
      <c r="I56" s="5" t="s">
        <v>411</v>
      </c>
      <c r="J56" s="5" t="s">
        <v>582</v>
      </c>
      <c r="K56" s="11" t="s">
        <v>47</v>
      </c>
    </row>
    <row r="57" customFormat="false" ht="15" hidden="false" customHeight="false" outlineLevel="0" collapsed="false">
      <c r="A57" s="5" t="s">
        <v>583</v>
      </c>
      <c r="B57" s="5" t="n">
        <v>26</v>
      </c>
      <c r="C57" s="5" t="n">
        <v>22</v>
      </c>
      <c r="D57" s="5" t="s">
        <v>584</v>
      </c>
      <c r="E57" s="5" t="s">
        <v>409</v>
      </c>
      <c r="F57" s="5" t="n">
        <v>1</v>
      </c>
      <c r="G57" s="5" t="n">
        <v>1</v>
      </c>
      <c r="H57" s="5" t="s">
        <v>585</v>
      </c>
      <c r="I57" s="5" t="s">
        <v>411</v>
      </c>
      <c r="J57" s="5" t="s">
        <v>558</v>
      </c>
      <c r="K57" s="11" t="s">
        <v>47</v>
      </c>
    </row>
    <row r="58" customFormat="false" ht="15" hidden="false" customHeight="false" outlineLevel="0" collapsed="false">
      <c r="A58" s="5" t="s">
        <v>586</v>
      </c>
      <c r="B58" s="5" t="n">
        <v>26</v>
      </c>
      <c r="C58" s="5" t="n">
        <v>23</v>
      </c>
      <c r="D58" s="5" t="s">
        <v>587</v>
      </c>
      <c r="E58" s="5" t="s">
        <v>409</v>
      </c>
      <c r="F58" s="5" t="n">
        <v>1</v>
      </c>
      <c r="G58" s="5" t="n">
        <v>1</v>
      </c>
      <c r="H58" s="5" t="s">
        <v>588</v>
      </c>
      <c r="I58" s="5" t="s">
        <v>411</v>
      </c>
      <c r="J58" s="5" t="s">
        <v>558</v>
      </c>
      <c r="K58" s="11" t="s">
        <v>47</v>
      </c>
    </row>
    <row r="59" customFormat="false" ht="15" hidden="false" customHeight="false" outlineLevel="0" collapsed="false">
      <c r="A59" s="5" t="s">
        <v>589</v>
      </c>
      <c r="B59" s="5" t="n">
        <v>26</v>
      </c>
      <c r="C59" s="5" t="n">
        <v>24</v>
      </c>
      <c r="D59" s="5" t="s">
        <v>590</v>
      </c>
      <c r="E59" s="5" t="s">
        <v>409</v>
      </c>
      <c r="F59" s="5" t="n">
        <v>1</v>
      </c>
      <c r="G59" s="5" t="n">
        <v>1</v>
      </c>
      <c r="H59" s="5" t="s">
        <v>591</v>
      </c>
      <c r="I59" s="5" t="s">
        <v>411</v>
      </c>
      <c r="J59" s="5" t="s">
        <v>558</v>
      </c>
      <c r="K59" s="11" t="s">
        <v>47</v>
      </c>
    </row>
    <row r="60" customFormat="false" ht="15" hidden="false" customHeight="false" outlineLevel="0" collapsed="false">
      <c r="A60" s="5" t="s">
        <v>592</v>
      </c>
      <c r="B60" s="5" t="n">
        <v>26</v>
      </c>
      <c r="C60" s="5" t="n">
        <v>25</v>
      </c>
      <c r="D60" s="5" t="s">
        <v>593</v>
      </c>
      <c r="E60" s="5" t="s">
        <v>409</v>
      </c>
      <c r="F60" s="5" t="n">
        <v>1</v>
      </c>
      <c r="G60" s="5" t="n">
        <v>1</v>
      </c>
      <c r="H60" s="5" t="s">
        <v>594</v>
      </c>
      <c r="I60" s="5" t="s">
        <v>411</v>
      </c>
      <c r="J60" s="5" t="s">
        <v>595</v>
      </c>
      <c r="K60" s="11" t="s">
        <v>47</v>
      </c>
    </row>
    <row r="61" customFormat="false" ht="15" hidden="false" customHeight="false" outlineLevel="0" collapsed="false">
      <c r="A61" s="5" t="s">
        <v>596</v>
      </c>
      <c r="B61" s="5" t="n">
        <v>26</v>
      </c>
      <c r="C61" s="5" t="n">
        <v>26</v>
      </c>
      <c r="D61" s="5" t="s">
        <v>597</v>
      </c>
      <c r="E61" s="5" t="s">
        <v>409</v>
      </c>
      <c r="F61" s="5" t="n">
        <v>1</v>
      </c>
      <c r="G61" s="5" t="n">
        <v>1</v>
      </c>
      <c r="H61" s="5" t="s">
        <v>598</v>
      </c>
      <c r="I61" s="5" t="s">
        <v>411</v>
      </c>
      <c r="J61" s="5" t="s">
        <v>599</v>
      </c>
      <c r="K61" s="11" t="s">
        <v>47</v>
      </c>
    </row>
    <row r="62" customFormat="false" ht="15" hidden="false" customHeight="false" outlineLevel="0" collapsed="false">
      <c r="A62" s="5" t="s">
        <v>600</v>
      </c>
      <c r="B62" s="5" t="n">
        <v>26</v>
      </c>
      <c r="C62" s="5" t="n">
        <v>27</v>
      </c>
      <c r="D62" s="5" t="s">
        <v>601</v>
      </c>
      <c r="E62" s="5" t="s">
        <v>409</v>
      </c>
      <c r="F62" s="5" t="n">
        <v>7</v>
      </c>
      <c r="G62" s="5" t="n">
        <v>0</v>
      </c>
      <c r="H62" s="5"/>
      <c r="I62" s="5" t="s">
        <v>411</v>
      </c>
      <c r="J62" s="5"/>
      <c r="K62" s="11" t="s">
        <v>47</v>
      </c>
    </row>
    <row r="63" customFormat="false" ht="15" hidden="false" customHeight="false" outlineLevel="0" collapsed="false">
      <c r="A63" s="5" t="s">
        <v>602</v>
      </c>
      <c r="B63" s="5" t="n">
        <v>26</v>
      </c>
      <c r="C63" s="5" t="n">
        <v>28</v>
      </c>
      <c r="D63" s="5" t="s">
        <v>603</v>
      </c>
      <c r="E63" s="5" t="s">
        <v>409</v>
      </c>
      <c r="F63" s="5" t="n">
        <v>3</v>
      </c>
      <c r="G63" s="5" t="n">
        <v>0</v>
      </c>
      <c r="H63" s="5"/>
      <c r="I63" s="5" t="s">
        <v>411</v>
      </c>
      <c r="J63" s="5"/>
      <c r="K63" s="11" t="s">
        <v>47</v>
      </c>
    </row>
    <row r="64" customFormat="false" ht="15" hidden="false" customHeight="false" outlineLevel="0" collapsed="false">
      <c r="A64" s="5" t="s">
        <v>604</v>
      </c>
      <c r="B64" s="5" t="n">
        <v>26</v>
      </c>
      <c r="C64" s="5" t="n">
        <v>29</v>
      </c>
      <c r="D64" s="5" t="s">
        <v>605</v>
      </c>
      <c r="E64" s="5" t="s">
        <v>409</v>
      </c>
      <c r="F64" s="5" t="n">
        <v>2</v>
      </c>
      <c r="G64" s="5" t="n">
        <v>0</v>
      </c>
      <c r="H64" s="5"/>
      <c r="I64" s="5" t="s">
        <v>411</v>
      </c>
      <c r="J64" s="5"/>
      <c r="K64" s="11" t="s">
        <v>47</v>
      </c>
    </row>
    <row r="65" customFormat="false" ht="15" hidden="false" customHeight="false" outlineLevel="0" collapsed="false">
      <c r="A65" s="5" t="s">
        <v>606</v>
      </c>
      <c r="B65" s="5" t="n">
        <v>26</v>
      </c>
      <c r="C65" s="5" t="n">
        <v>30</v>
      </c>
      <c r="D65" s="5" t="s">
        <v>607</v>
      </c>
      <c r="E65" s="5" t="s">
        <v>409</v>
      </c>
      <c r="F65" s="5" t="n">
        <v>0</v>
      </c>
      <c r="G65" s="5" t="n">
        <v>0</v>
      </c>
      <c r="H65" s="5"/>
      <c r="I65" s="5" t="s">
        <v>411</v>
      </c>
      <c r="J65" s="5"/>
      <c r="K65" s="11" t="s">
        <v>47</v>
      </c>
    </row>
    <row r="66" customFormat="false" ht="15" hidden="false" customHeight="false" outlineLevel="0" collapsed="false">
      <c r="A66" s="5" t="s">
        <v>608</v>
      </c>
      <c r="B66" s="5" t="n">
        <v>26</v>
      </c>
      <c r="C66" s="5" t="n">
        <v>31</v>
      </c>
      <c r="D66" s="5" t="s">
        <v>609</v>
      </c>
      <c r="E66" s="5" t="s">
        <v>409</v>
      </c>
      <c r="F66" s="5" t="n">
        <v>0</v>
      </c>
      <c r="G66" s="5" t="n">
        <v>0</v>
      </c>
      <c r="H66" s="5"/>
      <c r="I66" s="5" t="s">
        <v>411</v>
      </c>
      <c r="J66" s="5"/>
      <c r="K66" s="11" t="s">
        <v>47</v>
      </c>
    </row>
    <row r="67" customFormat="false" ht="15" hidden="false" customHeight="false" outlineLevel="0" collapsed="false">
      <c r="A67" s="5" t="s">
        <v>610</v>
      </c>
      <c r="B67" s="5" t="n">
        <v>26</v>
      </c>
      <c r="C67" s="5" t="n">
        <v>32</v>
      </c>
      <c r="D67" s="5" t="s">
        <v>611</v>
      </c>
      <c r="E67" s="5" t="s">
        <v>409</v>
      </c>
      <c r="F67" s="5" t="n">
        <v>0</v>
      </c>
      <c r="G67" s="5" t="n">
        <v>0</v>
      </c>
      <c r="H67" s="5"/>
      <c r="I67" s="5" t="s">
        <v>411</v>
      </c>
      <c r="J67" s="5"/>
      <c r="K67" s="11" t="s">
        <v>47</v>
      </c>
    </row>
    <row r="68" customFormat="false" ht="15" hidden="false" customHeight="false" outlineLevel="0" collapsed="false">
      <c r="A68" s="5" t="s">
        <v>612</v>
      </c>
      <c r="B68" s="5" t="n">
        <v>26</v>
      </c>
      <c r="C68" s="5" t="n">
        <v>33</v>
      </c>
      <c r="D68" s="5" t="s">
        <v>613</v>
      </c>
      <c r="E68" s="5" t="s">
        <v>409</v>
      </c>
      <c r="F68" s="5" t="n">
        <v>0</v>
      </c>
      <c r="G68" s="5" t="n">
        <v>0</v>
      </c>
      <c r="H68" s="5"/>
      <c r="I68" s="5" t="s">
        <v>411</v>
      </c>
      <c r="J68" s="5"/>
      <c r="K68" s="11" t="s">
        <v>47</v>
      </c>
    </row>
    <row r="69" customFormat="false" ht="15" hidden="false" customHeight="false" outlineLevel="0" collapsed="false">
      <c r="A69" s="5" t="s">
        <v>614</v>
      </c>
      <c r="B69" s="5" t="n">
        <v>26</v>
      </c>
      <c r="C69" s="5" t="n">
        <v>34</v>
      </c>
      <c r="D69" s="5" t="s">
        <v>615</v>
      </c>
      <c r="E69" s="5" t="s">
        <v>409</v>
      </c>
      <c r="F69" s="5" t="n">
        <v>0</v>
      </c>
      <c r="G69" s="5" t="n">
        <v>0</v>
      </c>
      <c r="H69" s="5"/>
      <c r="I69" s="5" t="s">
        <v>411</v>
      </c>
      <c r="J69" s="5"/>
      <c r="K69" s="11" t="s">
        <v>47</v>
      </c>
    </row>
    <row r="70" customFormat="false" ht="15" hidden="false" customHeight="false" outlineLevel="0" collapsed="false">
      <c r="A70" s="5" t="s">
        <v>616</v>
      </c>
      <c r="B70" s="5" t="n">
        <v>26</v>
      </c>
      <c r="C70" s="5" t="n">
        <v>35</v>
      </c>
      <c r="D70" s="5" t="s">
        <v>617</v>
      </c>
      <c r="E70" s="5" t="s">
        <v>409</v>
      </c>
      <c r="F70" s="5" t="n">
        <v>0</v>
      </c>
      <c r="G70" s="5" t="n">
        <v>0</v>
      </c>
      <c r="H70" s="5"/>
      <c r="I70" s="5" t="s">
        <v>411</v>
      </c>
      <c r="J70" s="5"/>
      <c r="K70" s="11" t="s">
        <v>47</v>
      </c>
    </row>
    <row r="71" customFormat="false" ht="15" hidden="false" customHeight="false" outlineLevel="0" collapsed="false">
      <c r="A71" s="5" t="s">
        <v>618</v>
      </c>
      <c r="B71" s="5" t="n">
        <v>26</v>
      </c>
      <c r="C71" s="5" t="n">
        <v>36</v>
      </c>
      <c r="D71" s="5" t="s">
        <v>619</v>
      </c>
      <c r="E71" s="5" t="s">
        <v>409</v>
      </c>
      <c r="F71" s="5" t="n">
        <v>0</v>
      </c>
      <c r="G71" s="5" t="n">
        <v>0</v>
      </c>
      <c r="H71" s="5"/>
      <c r="I71" s="5" t="s">
        <v>432</v>
      </c>
      <c r="J71" s="5"/>
      <c r="K71" s="11" t="s">
        <v>47</v>
      </c>
    </row>
    <row r="72" customFormat="false" ht="15" hidden="false" customHeight="false" outlineLevel="0" collapsed="false">
      <c r="A72" s="5" t="s">
        <v>620</v>
      </c>
      <c r="B72" s="5" t="n">
        <v>26</v>
      </c>
      <c r="C72" s="5" t="n">
        <v>37</v>
      </c>
      <c r="D72" s="5" t="s">
        <v>621</v>
      </c>
      <c r="E72" s="5" t="s">
        <v>409</v>
      </c>
      <c r="F72" s="5" t="n">
        <v>0</v>
      </c>
      <c r="G72" s="5" t="n">
        <v>0</v>
      </c>
      <c r="H72" s="5"/>
      <c r="I72" s="5" t="s">
        <v>432</v>
      </c>
      <c r="J72" s="5"/>
      <c r="K72" s="11" t="s">
        <v>47</v>
      </c>
    </row>
    <row r="73" customFormat="false" ht="15" hidden="false" customHeight="false" outlineLevel="0" collapsed="false">
      <c r="A73" s="5" t="s">
        <v>622</v>
      </c>
      <c r="B73" s="5" t="n">
        <v>27</v>
      </c>
      <c r="C73" s="5" t="n">
        <v>1</v>
      </c>
      <c r="D73" s="5" t="s">
        <v>163</v>
      </c>
      <c r="E73" s="5" t="s">
        <v>409</v>
      </c>
      <c r="F73" s="5" t="n">
        <v>13</v>
      </c>
      <c r="G73" s="5" t="n">
        <v>13</v>
      </c>
      <c r="H73" s="5" t="s">
        <v>501</v>
      </c>
      <c r="I73" s="5" t="s">
        <v>432</v>
      </c>
      <c r="J73" s="5" t="s">
        <v>502</v>
      </c>
      <c r="K73" s="11" t="s">
        <v>47</v>
      </c>
    </row>
    <row r="74" customFormat="false" ht="15" hidden="false" customHeight="false" outlineLevel="0" collapsed="false">
      <c r="A74" s="5" t="s">
        <v>623</v>
      </c>
      <c r="B74" s="5" t="n">
        <v>27</v>
      </c>
      <c r="C74" s="5" t="n">
        <v>2</v>
      </c>
      <c r="D74" s="5" t="s">
        <v>504</v>
      </c>
      <c r="E74" s="5" t="s">
        <v>409</v>
      </c>
      <c r="F74" s="5" t="n">
        <v>9</v>
      </c>
      <c r="G74" s="5" t="n">
        <v>8</v>
      </c>
      <c r="H74" s="5" t="s">
        <v>624</v>
      </c>
      <c r="I74" s="5" t="s">
        <v>432</v>
      </c>
      <c r="J74" s="5" t="s">
        <v>506</v>
      </c>
      <c r="K74" s="11" t="s">
        <v>47</v>
      </c>
    </row>
    <row r="75" customFormat="false" ht="15" hidden="false" customHeight="false" outlineLevel="0" collapsed="false">
      <c r="A75" s="5" t="s">
        <v>625</v>
      </c>
      <c r="B75" s="5" t="n">
        <v>27</v>
      </c>
      <c r="C75" s="5" t="n">
        <v>3</v>
      </c>
      <c r="D75" s="5" t="s">
        <v>508</v>
      </c>
      <c r="E75" s="5" t="s">
        <v>409</v>
      </c>
      <c r="F75" s="5" t="n">
        <v>8</v>
      </c>
      <c r="G75" s="5" t="n">
        <v>8</v>
      </c>
      <c r="H75" s="5" t="s">
        <v>509</v>
      </c>
      <c r="I75" s="5" t="s">
        <v>432</v>
      </c>
      <c r="J75" s="5" t="s">
        <v>510</v>
      </c>
      <c r="K75" s="11" t="s">
        <v>47</v>
      </c>
    </row>
    <row r="76" customFormat="false" ht="15" hidden="false" customHeight="false" outlineLevel="0" collapsed="false">
      <c r="A76" s="5" t="s">
        <v>626</v>
      </c>
      <c r="B76" s="5" t="n">
        <v>27</v>
      </c>
      <c r="C76" s="5" t="n">
        <v>4</v>
      </c>
      <c r="D76" s="5" t="s">
        <v>512</v>
      </c>
      <c r="E76" s="5" t="s">
        <v>409</v>
      </c>
      <c r="F76" s="5" t="n">
        <v>9</v>
      </c>
      <c r="G76" s="5" t="n">
        <v>7</v>
      </c>
      <c r="H76" s="5" t="s">
        <v>513</v>
      </c>
      <c r="I76" s="5" t="s">
        <v>432</v>
      </c>
      <c r="J76" s="5" t="s">
        <v>514</v>
      </c>
      <c r="K76" s="11" t="s">
        <v>47</v>
      </c>
    </row>
    <row r="77" customFormat="false" ht="15" hidden="false" customHeight="false" outlineLevel="0" collapsed="false">
      <c r="A77" s="5" t="s">
        <v>627</v>
      </c>
      <c r="B77" s="5" t="n">
        <v>27</v>
      </c>
      <c r="C77" s="5" t="n">
        <v>5</v>
      </c>
      <c r="D77" s="5" t="s">
        <v>516</v>
      </c>
      <c r="E77" s="5" t="s">
        <v>409</v>
      </c>
      <c r="F77" s="5" t="n">
        <v>6</v>
      </c>
      <c r="G77" s="5" t="n">
        <v>5</v>
      </c>
      <c r="H77" s="5" t="s">
        <v>517</v>
      </c>
      <c r="I77" s="5" t="s">
        <v>411</v>
      </c>
      <c r="J77" s="5" t="s">
        <v>518</v>
      </c>
      <c r="K77" s="11" t="s">
        <v>47</v>
      </c>
    </row>
    <row r="78" customFormat="false" ht="15" hidden="false" customHeight="false" outlineLevel="0" collapsed="false">
      <c r="A78" s="5" t="s">
        <v>628</v>
      </c>
      <c r="B78" s="5" t="n">
        <v>27</v>
      </c>
      <c r="C78" s="5" t="n">
        <v>6</v>
      </c>
      <c r="D78" s="5" t="s">
        <v>520</v>
      </c>
      <c r="E78" s="5" t="s">
        <v>409</v>
      </c>
      <c r="F78" s="5" t="n">
        <v>5</v>
      </c>
      <c r="G78" s="5" t="n">
        <v>5</v>
      </c>
      <c r="H78" s="5" t="s">
        <v>521</v>
      </c>
      <c r="I78" s="5" t="s">
        <v>432</v>
      </c>
      <c r="J78" s="5" t="s">
        <v>522</v>
      </c>
      <c r="K78" s="11" t="s">
        <v>47</v>
      </c>
    </row>
    <row r="79" customFormat="false" ht="15" hidden="false" customHeight="false" outlineLevel="0" collapsed="false">
      <c r="A79" s="5" t="s">
        <v>629</v>
      </c>
      <c r="B79" s="5" t="n">
        <v>27</v>
      </c>
      <c r="C79" s="5" t="n">
        <v>7</v>
      </c>
      <c r="D79" s="5" t="s">
        <v>524</v>
      </c>
      <c r="E79" s="5" t="s">
        <v>409</v>
      </c>
      <c r="F79" s="5" t="n">
        <v>10</v>
      </c>
      <c r="G79" s="5" t="n">
        <v>4</v>
      </c>
      <c r="H79" s="5" t="s">
        <v>525</v>
      </c>
      <c r="I79" s="5" t="s">
        <v>411</v>
      </c>
      <c r="J79" s="5" t="s">
        <v>526</v>
      </c>
      <c r="K79" s="11" t="s">
        <v>47</v>
      </c>
    </row>
    <row r="80" customFormat="false" ht="15" hidden="false" customHeight="false" outlineLevel="0" collapsed="false">
      <c r="A80" s="5" t="s">
        <v>630</v>
      </c>
      <c r="B80" s="5" t="n">
        <v>27</v>
      </c>
      <c r="C80" s="5" t="n">
        <v>8</v>
      </c>
      <c r="D80" s="5" t="s">
        <v>528</v>
      </c>
      <c r="E80" s="5" t="s">
        <v>409</v>
      </c>
      <c r="F80" s="5" t="n">
        <v>5</v>
      </c>
      <c r="G80" s="5" t="n">
        <v>3</v>
      </c>
      <c r="H80" s="5" t="s">
        <v>529</v>
      </c>
      <c r="I80" s="5" t="s">
        <v>411</v>
      </c>
      <c r="J80" s="5" t="s">
        <v>530</v>
      </c>
      <c r="K80" s="11" t="s">
        <v>47</v>
      </c>
    </row>
    <row r="81" customFormat="false" ht="15" hidden="false" customHeight="false" outlineLevel="0" collapsed="false">
      <c r="A81" s="5" t="s">
        <v>631</v>
      </c>
      <c r="B81" s="5" t="n">
        <v>27</v>
      </c>
      <c r="C81" s="5" t="n">
        <v>9</v>
      </c>
      <c r="D81" s="5" t="s">
        <v>532</v>
      </c>
      <c r="E81" s="5" t="s">
        <v>409</v>
      </c>
      <c r="F81" s="5" t="n">
        <v>4</v>
      </c>
      <c r="G81" s="5" t="n">
        <v>3</v>
      </c>
      <c r="H81" s="5" t="s">
        <v>533</v>
      </c>
      <c r="I81" s="5" t="s">
        <v>411</v>
      </c>
      <c r="J81" s="5" t="s">
        <v>534</v>
      </c>
      <c r="K81" s="11" t="s">
        <v>47</v>
      </c>
    </row>
    <row r="82" customFormat="false" ht="15" hidden="false" customHeight="false" outlineLevel="0" collapsed="false">
      <c r="A82" s="5" t="s">
        <v>632</v>
      </c>
      <c r="B82" s="5" t="n">
        <v>27</v>
      </c>
      <c r="C82" s="5" t="n">
        <v>10</v>
      </c>
      <c r="D82" s="5" t="s">
        <v>536</v>
      </c>
      <c r="E82" s="5" t="s">
        <v>409</v>
      </c>
      <c r="F82" s="5" t="n">
        <v>3</v>
      </c>
      <c r="G82" s="5" t="n">
        <v>3</v>
      </c>
      <c r="H82" s="5" t="s">
        <v>537</v>
      </c>
      <c r="I82" s="5" t="s">
        <v>411</v>
      </c>
      <c r="J82" s="5" t="s">
        <v>538</v>
      </c>
      <c r="K82" s="11" t="s">
        <v>47</v>
      </c>
    </row>
    <row r="83" customFormat="false" ht="15" hidden="false" customHeight="false" outlineLevel="0" collapsed="false">
      <c r="A83" s="5" t="s">
        <v>633</v>
      </c>
      <c r="B83" s="5" t="n">
        <v>27</v>
      </c>
      <c r="C83" s="5" t="n">
        <v>11</v>
      </c>
      <c r="D83" s="5" t="s">
        <v>540</v>
      </c>
      <c r="E83" s="5" t="s">
        <v>409</v>
      </c>
      <c r="F83" s="5" t="n">
        <v>3</v>
      </c>
      <c r="G83" s="5" t="n">
        <v>3</v>
      </c>
      <c r="H83" s="5" t="s">
        <v>541</v>
      </c>
      <c r="I83" s="5" t="s">
        <v>411</v>
      </c>
      <c r="J83" s="5" t="s">
        <v>542</v>
      </c>
      <c r="K83" s="11" t="s">
        <v>47</v>
      </c>
    </row>
    <row r="84" customFormat="false" ht="15" hidden="false" customHeight="false" outlineLevel="0" collapsed="false">
      <c r="A84" s="5" t="s">
        <v>634</v>
      </c>
      <c r="B84" s="5" t="n">
        <v>27</v>
      </c>
      <c r="C84" s="5" t="n">
        <v>12</v>
      </c>
      <c r="D84" s="5" t="s">
        <v>544</v>
      </c>
      <c r="E84" s="5" t="s">
        <v>409</v>
      </c>
      <c r="F84" s="5" t="n">
        <v>3</v>
      </c>
      <c r="G84" s="5" t="n">
        <v>2</v>
      </c>
      <c r="H84" s="5" t="s">
        <v>545</v>
      </c>
      <c r="I84" s="5" t="s">
        <v>411</v>
      </c>
      <c r="J84" s="5" t="s">
        <v>546</v>
      </c>
      <c r="K84" s="11" t="s">
        <v>47</v>
      </c>
    </row>
    <row r="85" customFormat="false" ht="15" hidden="false" customHeight="false" outlineLevel="0" collapsed="false">
      <c r="A85" s="5" t="s">
        <v>635</v>
      </c>
      <c r="B85" s="5" t="n">
        <v>27</v>
      </c>
      <c r="C85" s="5" t="n">
        <v>13</v>
      </c>
      <c r="D85" s="5" t="s">
        <v>548</v>
      </c>
      <c r="E85" s="5" t="s">
        <v>409</v>
      </c>
      <c r="F85" s="5" t="n">
        <v>3</v>
      </c>
      <c r="G85" s="5" t="n">
        <v>2</v>
      </c>
      <c r="H85" s="5" t="s">
        <v>549</v>
      </c>
      <c r="I85" s="5" t="s">
        <v>411</v>
      </c>
      <c r="J85" s="5" t="s">
        <v>550</v>
      </c>
      <c r="K85" s="11" t="s">
        <v>47</v>
      </c>
    </row>
    <row r="86" customFormat="false" ht="15" hidden="false" customHeight="false" outlineLevel="0" collapsed="false">
      <c r="A86" s="5" t="s">
        <v>636</v>
      </c>
      <c r="B86" s="5" t="n">
        <v>27</v>
      </c>
      <c r="C86" s="5" t="n">
        <v>14</v>
      </c>
      <c r="D86" s="5" t="s">
        <v>552</v>
      </c>
      <c r="E86" s="5" t="s">
        <v>409</v>
      </c>
      <c r="F86" s="5" t="n">
        <v>3</v>
      </c>
      <c r="G86" s="5" t="n">
        <v>2</v>
      </c>
      <c r="H86" s="5" t="s">
        <v>553</v>
      </c>
      <c r="I86" s="5" t="s">
        <v>411</v>
      </c>
      <c r="J86" s="5" t="s">
        <v>554</v>
      </c>
      <c r="K86" s="11" t="s">
        <v>47</v>
      </c>
    </row>
    <row r="87" customFormat="false" ht="15" hidden="false" customHeight="false" outlineLevel="0" collapsed="false">
      <c r="A87" s="5" t="s">
        <v>637</v>
      </c>
      <c r="B87" s="5" t="n">
        <v>27</v>
      </c>
      <c r="C87" s="5" t="n">
        <v>15</v>
      </c>
      <c r="D87" s="5" t="s">
        <v>556</v>
      </c>
      <c r="E87" s="5" t="s">
        <v>409</v>
      </c>
      <c r="F87" s="5" t="n">
        <v>2</v>
      </c>
      <c r="G87" s="5" t="n">
        <v>2</v>
      </c>
      <c r="H87" s="5" t="s">
        <v>557</v>
      </c>
      <c r="I87" s="5" t="s">
        <v>411</v>
      </c>
      <c r="J87" s="5" t="s">
        <v>558</v>
      </c>
      <c r="K87" s="11" t="s">
        <v>47</v>
      </c>
    </row>
    <row r="88" customFormat="false" ht="15" hidden="false" customHeight="false" outlineLevel="0" collapsed="false">
      <c r="A88" s="5" t="s">
        <v>638</v>
      </c>
      <c r="B88" s="5" t="n">
        <v>27</v>
      </c>
      <c r="C88" s="5" t="n">
        <v>16</v>
      </c>
      <c r="D88" s="5" t="s">
        <v>560</v>
      </c>
      <c r="E88" s="5" t="s">
        <v>409</v>
      </c>
      <c r="F88" s="5" t="n">
        <v>2</v>
      </c>
      <c r="G88" s="5" t="n">
        <v>2</v>
      </c>
      <c r="H88" s="5" t="s">
        <v>561</v>
      </c>
      <c r="I88" s="5" t="s">
        <v>411</v>
      </c>
      <c r="J88" s="5" t="s">
        <v>562</v>
      </c>
      <c r="K88" s="11" t="s">
        <v>47</v>
      </c>
    </row>
    <row r="89" customFormat="false" ht="15" hidden="false" customHeight="false" outlineLevel="0" collapsed="false">
      <c r="A89" s="5" t="s">
        <v>639</v>
      </c>
      <c r="B89" s="5" t="n">
        <v>27</v>
      </c>
      <c r="C89" s="5" t="n">
        <v>17</v>
      </c>
      <c r="D89" s="5" t="s">
        <v>564</v>
      </c>
      <c r="E89" s="5" t="s">
        <v>409</v>
      </c>
      <c r="F89" s="5" t="n">
        <v>2</v>
      </c>
      <c r="G89" s="5" t="n">
        <v>2</v>
      </c>
      <c r="H89" s="5" t="s">
        <v>565</v>
      </c>
      <c r="I89" s="5" t="s">
        <v>411</v>
      </c>
      <c r="J89" s="5" t="s">
        <v>566</v>
      </c>
      <c r="K89" s="11" t="s">
        <v>47</v>
      </c>
    </row>
    <row r="90" customFormat="false" ht="15" hidden="false" customHeight="false" outlineLevel="0" collapsed="false">
      <c r="A90" s="5" t="s">
        <v>640</v>
      </c>
      <c r="B90" s="5" t="n">
        <v>27</v>
      </c>
      <c r="C90" s="5" t="n">
        <v>18</v>
      </c>
      <c r="D90" s="5" t="s">
        <v>568</v>
      </c>
      <c r="E90" s="5" t="s">
        <v>409</v>
      </c>
      <c r="F90" s="5" t="n">
        <v>2</v>
      </c>
      <c r="G90" s="5" t="n">
        <v>2</v>
      </c>
      <c r="H90" s="5" t="s">
        <v>569</v>
      </c>
      <c r="I90" s="5" t="s">
        <v>411</v>
      </c>
      <c r="J90" s="5" t="s">
        <v>570</v>
      </c>
      <c r="K90" s="11" t="s">
        <v>47</v>
      </c>
    </row>
    <row r="91" customFormat="false" ht="15" hidden="false" customHeight="false" outlineLevel="0" collapsed="false">
      <c r="A91" s="5" t="s">
        <v>641</v>
      </c>
      <c r="B91" s="5" t="n">
        <v>27</v>
      </c>
      <c r="C91" s="5" t="n">
        <v>19</v>
      </c>
      <c r="D91" s="5" t="s">
        <v>572</v>
      </c>
      <c r="E91" s="5" t="s">
        <v>409</v>
      </c>
      <c r="F91" s="5" t="n">
        <v>2</v>
      </c>
      <c r="G91" s="5" t="n">
        <v>1</v>
      </c>
      <c r="H91" s="5" t="s">
        <v>573</v>
      </c>
      <c r="I91" s="5" t="s">
        <v>411</v>
      </c>
      <c r="J91" s="5" t="s">
        <v>574</v>
      </c>
      <c r="K91" s="11" t="s">
        <v>47</v>
      </c>
    </row>
    <row r="92" customFormat="false" ht="15" hidden="false" customHeight="false" outlineLevel="0" collapsed="false">
      <c r="A92" s="5" t="s">
        <v>642</v>
      </c>
      <c r="B92" s="5" t="n">
        <v>27</v>
      </c>
      <c r="C92" s="5" t="n">
        <v>20</v>
      </c>
      <c r="D92" s="5" t="s">
        <v>576</v>
      </c>
      <c r="E92" s="5" t="s">
        <v>409</v>
      </c>
      <c r="F92" s="5" t="n">
        <v>2</v>
      </c>
      <c r="G92" s="5" t="n">
        <v>1</v>
      </c>
      <c r="H92" s="5" t="s">
        <v>577</v>
      </c>
      <c r="I92" s="5" t="s">
        <v>411</v>
      </c>
      <c r="J92" s="5" t="s">
        <v>578</v>
      </c>
      <c r="K92" s="11" t="s">
        <v>47</v>
      </c>
    </row>
    <row r="93" customFormat="false" ht="15" hidden="false" customHeight="false" outlineLevel="0" collapsed="false">
      <c r="A93" s="5" t="s">
        <v>643</v>
      </c>
      <c r="B93" s="5" t="n">
        <v>27</v>
      </c>
      <c r="C93" s="5" t="n">
        <v>21</v>
      </c>
      <c r="D93" s="5" t="s">
        <v>580</v>
      </c>
      <c r="E93" s="5" t="s">
        <v>409</v>
      </c>
      <c r="F93" s="5" t="n">
        <v>2</v>
      </c>
      <c r="G93" s="5" t="n">
        <v>1</v>
      </c>
      <c r="H93" s="5" t="s">
        <v>581</v>
      </c>
      <c r="I93" s="5" t="s">
        <v>411</v>
      </c>
      <c r="J93" s="5" t="s">
        <v>582</v>
      </c>
      <c r="K93" s="11" t="s">
        <v>47</v>
      </c>
    </row>
    <row r="94" customFormat="false" ht="15" hidden="false" customHeight="false" outlineLevel="0" collapsed="false">
      <c r="A94" s="5" t="s">
        <v>644</v>
      </c>
      <c r="B94" s="5" t="n">
        <v>27</v>
      </c>
      <c r="C94" s="5" t="n">
        <v>22</v>
      </c>
      <c r="D94" s="5" t="s">
        <v>584</v>
      </c>
      <c r="E94" s="5" t="s">
        <v>409</v>
      </c>
      <c r="F94" s="5" t="n">
        <v>1</v>
      </c>
      <c r="G94" s="5" t="n">
        <v>1</v>
      </c>
      <c r="H94" s="5" t="s">
        <v>585</v>
      </c>
      <c r="I94" s="5" t="s">
        <v>411</v>
      </c>
      <c r="J94" s="5" t="s">
        <v>558</v>
      </c>
      <c r="K94" s="11" t="s">
        <v>47</v>
      </c>
    </row>
    <row r="95" customFormat="false" ht="15" hidden="false" customHeight="false" outlineLevel="0" collapsed="false">
      <c r="A95" s="5" t="s">
        <v>645</v>
      </c>
      <c r="B95" s="5" t="n">
        <v>27</v>
      </c>
      <c r="C95" s="5" t="n">
        <v>23</v>
      </c>
      <c r="D95" s="5" t="s">
        <v>587</v>
      </c>
      <c r="E95" s="5" t="s">
        <v>409</v>
      </c>
      <c r="F95" s="5" t="n">
        <v>1</v>
      </c>
      <c r="G95" s="5" t="n">
        <v>1</v>
      </c>
      <c r="H95" s="5" t="s">
        <v>588</v>
      </c>
      <c r="I95" s="5" t="s">
        <v>411</v>
      </c>
      <c r="J95" s="5" t="s">
        <v>558</v>
      </c>
      <c r="K95" s="11" t="s">
        <v>47</v>
      </c>
    </row>
    <row r="96" customFormat="false" ht="15" hidden="false" customHeight="false" outlineLevel="0" collapsed="false">
      <c r="A96" s="5" t="s">
        <v>646</v>
      </c>
      <c r="B96" s="5" t="n">
        <v>27</v>
      </c>
      <c r="C96" s="5" t="n">
        <v>24</v>
      </c>
      <c r="D96" s="5" t="s">
        <v>590</v>
      </c>
      <c r="E96" s="5" t="s">
        <v>409</v>
      </c>
      <c r="F96" s="5" t="n">
        <v>1</v>
      </c>
      <c r="G96" s="5" t="n">
        <v>1</v>
      </c>
      <c r="H96" s="5" t="s">
        <v>591</v>
      </c>
      <c r="I96" s="5" t="s">
        <v>411</v>
      </c>
      <c r="J96" s="5" t="s">
        <v>558</v>
      </c>
      <c r="K96" s="11" t="s">
        <v>47</v>
      </c>
    </row>
    <row r="97" customFormat="false" ht="15" hidden="false" customHeight="false" outlineLevel="0" collapsed="false">
      <c r="A97" s="5" t="s">
        <v>647</v>
      </c>
      <c r="B97" s="5" t="n">
        <v>27</v>
      </c>
      <c r="C97" s="5" t="n">
        <v>25</v>
      </c>
      <c r="D97" s="5" t="s">
        <v>593</v>
      </c>
      <c r="E97" s="5" t="s">
        <v>409</v>
      </c>
      <c r="F97" s="5" t="n">
        <v>1</v>
      </c>
      <c r="G97" s="5" t="n">
        <v>1</v>
      </c>
      <c r="H97" s="5" t="s">
        <v>594</v>
      </c>
      <c r="I97" s="5" t="s">
        <v>411</v>
      </c>
      <c r="J97" s="5" t="s">
        <v>595</v>
      </c>
      <c r="K97" s="11" t="s">
        <v>47</v>
      </c>
    </row>
    <row r="98" customFormat="false" ht="15" hidden="false" customHeight="false" outlineLevel="0" collapsed="false">
      <c r="A98" s="5" t="s">
        <v>648</v>
      </c>
      <c r="B98" s="5" t="n">
        <v>27</v>
      </c>
      <c r="C98" s="5" t="n">
        <v>26</v>
      </c>
      <c r="D98" s="5" t="s">
        <v>597</v>
      </c>
      <c r="E98" s="5" t="s">
        <v>409</v>
      </c>
      <c r="F98" s="5" t="n">
        <v>1</v>
      </c>
      <c r="G98" s="5" t="n">
        <v>1</v>
      </c>
      <c r="H98" s="5" t="s">
        <v>598</v>
      </c>
      <c r="I98" s="5" t="s">
        <v>411</v>
      </c>
      <c r="J98" s="5" t="s">
        <v>599</v>
      </c>
      <c r="K98" s="11" t="s">
        <v>47</v>
      </c>
    </row>
    <row r="99" customFormat="false" ht="15" hidden="false" customHeight="false" outlineLevel="0" collapsed="false">
      <c r="A99" s="5" t="s">
        <v>649</v>
      </c>
      <c r="B99" s="5" t="n">
        <v>27</v>
      </c>
      <c r="C99" s="5" t="n">
        <v>27</v>
      </c>
      <c r="D99" s="5" t="s">
        <v>601</v>
      </c>
      <c r="E99" s="5" t="s">
        <v>409</v>
      </c>
      <c r="F99" s="5" t="n">
        <v>7</v>
      </c>
      <c r="G99" s="5" t="n">
        <v>0</v>
      </c>
      <c r="H99" s="5"/>
      <c r="I99" s="5" t="s">
        <v>411</v>
      </c>
      <c r="J99" s="5"/>
      <c r="K99" s="11" t="s">
        <v>47</v>
      </c>
    </row>
    <row r="100" customFormat="false" ht="15" hidden="false" customHeight="false" outlineLevel="0" collapsed="false">
      <c r="A100" s="5" t="s">
        <v>650</v>
      </c>
      <c r="B100" s="5" t="n">
        <v>27</v>
      </c>
      <c r="C100" s="5" t="n">
        <v>28</v>
      </c>
      <c r="D100" s="5" t="s">
        <v>603</v>
      </c>
      <c r="E100" s="5" t="s">
        <v>409</v>
      </c>
      <c r="F100" s="5" t="n">
        <v>3</v>
      </c>
      <c r="G100" s="5" t="n">
        <v>0</v>
      </c>
      <c r="H100" s="5"/>
      <c r="I100" s="5" t="s">
        <v>411</v>
      </c>
      <c r="J100" s="5"/>
      <c r="K100" s="11" t="s">
        <v>47</v>
      </c>
    </row>
    <row r="101" customFormat="false" ht="15" hidden="false" customHeight="false" outlineLevel="0" collapsed="false">
      <c r="A101" s="5" t="s">
        <v>651</v>
      </c>
      <c r="B101" s="5" t="n">
        <v>27</v>
      </c>
      <c r="C101" s="5" t="n">
        <v>29</v>
      </c>
      <c r="D101" s="5" t="s">
        <v>605</v>
      </c>
      <c r="E101" s="5" t="s">
        <v>409</v>
      </c>
      <c r="F101" s="5" t="n">
        <v>2</v>
      </c>
      <c r="G101" s="5" t="n">
        <v>0</v>
      </c>
      <c r="H101" s="5"/>
      <c r="I101" s="5" t="s">
        <v>411</v>
      </c>
      <c r="J101" s="5"/>
      <c r="K101" s="11" t="s">
        <v>47</v>
      </c>
    </row>
    <row r="102" customFormat="false" ht="15" hidden="false" customHeight="false" outlineLevel="0" collapsed="false">
      <c r="A102" s="5" t="s">
        <v>652</v>
      </c>
      <c r="B102" s="5" t="n">
        <v>27</v>
      </c>
      <c r="C102" s="5" t="n">
        <v>30</v>
      </c>
      <c r="D102" s="5" t="s">
        <v>607</v>
      </c>
      <c r="E102" s="5" t="s">
        <v>409</v>
      </c>
      <c r="F102" s="5" t="n">
        <v>0</v>
      </c>
      <c r="G102" s="5" t="n">
        <v>0</v>
      </c>
      <c r="H102" s="5"/>
      <c r="I102" s="5" t="s">
        <v>411</v>
      </c>
      <c r="J102" s="5"/>
      <c r="K102" s="11" t="s">
        <v>47</v>
      </c>
    </row>
    <row r="103" customFormat="false" ht="15" hidden="false" customHeight="false" outlineLevel="0" collapsed="false">
      <c r="A103" s="5" t="s">
        <v>653</v>
      </c>
      <c r="B103" s="5" t="n">
        <v>27</v>
      </c>
      <c r="C103" s="5" t="n">
        <v>31</v>
      </c>
      <c r="D103" s="5" t="s">
        <v>609</v>
      </c>
      <c r="E103" s="5" t="s">
        <v>409</v>
      </c>
      <c r="F103" s="5" t="n">
        <v>0</v>
      </c>
      <c r="G103" s="5" t="n">
        <v>0</v>
      </c>
      <c r="H103" s="5"/>
      <c r="I103" s="5" t="s">
        <v>411</v>
      </c>
      <c r="J103" s="5"/>
      <c r="K103" s="11" t="s">
        <v>47</v>
      </c>
    </row>
    <row r="104" customFormat="false" ht="15" hidden="false" customHeight="false" outlineLevel="0" collapsed="false">
      <c r="A104" s="5" t="s">
        <v>654</v>
      </c>
      <c r="B104" s="5" t="n">
        <v>27</v>
      </c>
      <c r="C104" s="5" t="n">
        <v>32</v>
      </c>
      <c r="D104" s="5" t="s">
        <v>611</v>
      </c>
      <c r="E104" s="5" t="s">
        <v>409</v>
      </c>
      <c r="F104" s="5" t="n">
        <v>0</v>
      </c>
      <c r="G104" s="5" t="n">
        <v>0</v>
      </c>
      <c r="H104" s="5"/>
      <c r="I104" s="5" t="s">
        <v>411</v>
      </c>
      <c r="J104" s="5"/>
      <c r="K104" s="11" t="s">
        <v>47</v>
      </c>
    </row>
    <row r="105" customFormat="false" ht="15" hidden="false" customHeight="false" outlineLevel="0" collapsed="false">
      <c r="A105" s="5" t="s">
        <v>655</v>
      </c>
      <c r="B105" s="5" t="n">
        <v>27</v>
      </c>
      <c r="C105" s="5" t="n">
        <v>33</v>
      </c>
      <c r="D105" s="5" t="s">
        <v>613</v>
      </c>
      <c r="E105" s="5" t="s">
        <v>409</v>
      </c>
      <c r="F105" s="5" t="n">
        <v>0</v>
      </c>
      <c r="G105" s="5" t="n">
        <v>0</v>
      </c>
      <c r="H105" s="5"/>
      <c r="I105" s="5" t="s">
        <v>411</v>
      </c>
      <c r="J105" s="5"/>
      <c r="K105" s="11" t="s">
        <v>47</v>
      </c>
    </row>
    <row r="106" customFormat="false" ht="15" hidden="false" customHeight="false" outlineLevel="0" collapsed="false">
      <c r="A106" s="5" t="s">
        <v>656</v>
      </c>
      <c r="B106" s="5" t="n">
        <v>27</v>
      </c>
      <c r="C106" s="5" t="n">
        <v>34</v>
      </c>
      <c r="D106" s="5" t="s">
        <v>615</v>
      </c>
      <c r="E106" s="5" t="s">
        <v>409</v>
      </c>
      <c r="F106" s="5" t="n">
        <v>0</v>
      </c>
      <c r="G106" s="5" t="n">
        <v>0</v>
      </c>
      <c r="H106" s="5"/>
      <c r="I106" s="5" t="s">
        <v>411</v>
      </c>
      <c r="J106" s="5"/>
      <c r="K106" s="11" t="s">
        <v>47</v>
      </c>
    </row>
    <row r="107" customFormat="false" ht="15" hidden="false" customHeight="false" outlineLevel="0" collapsed="false">
      <c r="A107" s="5" t="s">
        <v>657</v>
      </c>
      <c r="B107" s="5" t="n">
        <v>27</v>
      </c>
      <c r="C107" s="5" t="n">
        <v>35</v>
      </c>
      <c r="D107" s="5" t="s">
        <v>617</v>
      </c>
      <c r="E107" s="5" t="s">
        <v>409</v>
      </c>
      <c r="F107" s="5" t="n">
        <v>0</v>
      </c>
      <c r="G107" s="5" t="n">
        <v>0</v>
      </c>
      <c r="H107" s="5"/>
      <c r="I107" s="5" t="s">
        <v>411</v>
      </c>
      <c r="J107" s="5"/>
      <c r="K107" s="11" t="s">
        <v>47</v>
      </c>
    </row>
    <row r="108" customFormat="false" ht="15" hidden="false" customHeight="false" outlineLevel="0" collapsed="false">
      <c r="A108" s="5" t="s">
        <v>658</v>
      </c>
      <c r="B108" s="5" t="n">
        <v>27</v>
      </c>
      <c r="C108" s="5" t="n">
        <v>36</v>
      </c>
      <c r="D108" s="5" t="s">
        <v>619</v>
      </c>
      <c r="E108" s="5" t="s">
        <v>409</v>
      </c>
      <c r="F108" s="5" t="n">
        <v>0</v>
      </c>
      <c r="G108" s="5" t="n">
        <v>0</v>
      </c>
      <c r="H108" s="5"/>
      <c r="I108" s="5" t="s">
        <v>432</v>
      </c>
      <c r="J108" s="5"/>
      <c r="K108" s="11" t="s">
        <v>47</v>
      </c>
    </row>
    <row r="109" customFormat="false" ht="15" hidden="false" customHeight="false" outlineLevel="0" collapsed="false">
      <c r="A109" s="5" t="s">
        <v>659</v>
      </c>
      <c r="B109" s="5" t="n">
        <v>27</v>
      </c>
      <c r="C109" s="5" t="n">
        <v>37</v>
      </c>
      <c r="D109" s="5" t="s">
        <v>621</v>
      </c>
      <c r="E109" s="5" t="s">
        <v>409</v>
      </c>
      <c r="F109" s="5" t="n">
        <v>0</v>
      </c>
      <c r="G109" s="5" t="n">
        <v>0</v>
      </c>
      <c r="H109" s="5"/>
      <c r="I109" s="5" t="s">
        <v>432</v>
      </c>
      <c r="J109" s="5"/>
      <c r="K109" s="11" t="s">
        <v>47</v>
      </c>
    </row>
    <row r="110" customFormat="false" ht="15" hidden="false" customHeight="false" outlineLevel="0" collapsed="false">
      <c r="A110" s="5" t="s">
        <v>660</v>
      </c>
      <c r="B110" s="5" t="n">
        <v>28</v>
      </c>
      <c r="C110" s="5" t="n">
        <v>1</v>
      </c>
      <c r="D110" s="5" t="s">
        <v>163</v>
      </c>
      <c r="E110" s="5" t="s">
        <v>409</v>
      </c>
      <c r="F110" s="5" t="n">
        <v>13</v>
      </c>
      <c r="G110" s="5" t="n">
        <v>13</v>
      </c>
      <c r="H110" s="5" t="s">
        <v>501</v>
      </c>
      <c r="I110" s="5" t="s">
        <v>432</v>
      </c>
      <c r="J110" s="5" t="s">
        <v>502</v>
      </c>
      <c r="K110" s="11" t="s">
        <v>47</v>
      </c>
    </row>
    <row r="111" customFormat="false" ht="15" hidden="false" customHeight="false" outlineLevel="0" collapsed="false">
      <c r="A111" s="5" t="s">
        <v>661</v>
      </c>
      <c r="B111" s="5" t="n">
        <v>28</v>
      </c>
      <c r="C111" s="5" t="n">
        <v>2</v>
      </c>
      <c r="D111" s="5" t="s">
        <v>504</v>
      </c>
      <c r="E111" s="5" t="s">
        <v>409</v>
      </c>
      <c r="F111" s="5" t="n">
        <v>11</v>
      </c>
      <c r="G111" s="5" t="n">
        <v>10</v>
      </c>
      <c r="H111" s="5" t="s">
        <v>662</v>
      </c>
      <c r="I111" s="5" t="s">
        <v>432</v>
      </c>
      <c r="J111" s="5" t="s">
        <v>506</v>
      </c>
      <c r="K111" s="11" t="s">
        <v>47</v>
      </c>
    </row>
    <row r="112" customFormat="false" ht="15" hidden="false" customHeight="false" outlineLevel="0" collapsed="false">
      <c r="A112" s="5" t="s">
        <v>663</v>
      </c>
      <c r="B112" s="5" t="n">
        <v>28</v>
      </c>
      <c r="C112" s="5" t="n">
        <v>3</v>
      </c>
      <c r="D112" s="5" t="s">
        <v>508</v>
      </c>
      <c r="E112" s="5" t="s">
        <v>409</v>
      </c>
      <c r="F112" s="5" t="n">
        <v>8</v>
      </c>
      <c r="G112" s="5" t="n">
        <v>8</v>
      </c>
      <c r="H112" s="5" t="s">
        <v>509</v>
      </c>
      <c r="I112" s="5" t="s">
        <v>432</v>
      </c>
      <c r="J112" s="5" t="s">
        <v>510</v>
      </c>
      <c r="K112" s="11" t="s">
        <v>47</v>
      </c>
    </row>
    <row r="113" customFormat="false" ht="15" hidden="false" customHeight="false" outlineLevel="0" collapsed="false">
      <c r="A113" s="5" t="s">
        <v>664</v>
      </c>
      <c r="B113" s="5" t="n">
        <v>28</v>
      </c>
      <c r="C113" s="5" t="n">
        <v>4</v>
      </c>
      <c r="D113" s="5" t="s">
        <v>512</v>
      </c>
      <c r="E113" s="5" t="s">
        <v>409</v>
      </c>
      <c r="F113" s="5" t="n">
        <v>9</v>
      </c>
      <c r="G113" s="5" t="n">
        <v>7</v>
      </c>
      <c r="H113" s="5" t="s">
        <v>513</v>
      </c>
      <c r="I113" s="5" t="s">
        <v>432</v>
      </c>
      <c r="J113" s="5" t="s">
        <v>514</v>
      </c>
      <c r="K113" s="11" t="s">
        <v>47</v>
      </c>
    </row>
    <row r="114" customFormat="false" ht="15" hidden="false" customHeight="false" outlineLevel="0" collapsed="false">
      <c r="A114" s="5" t="s">
        <v>665</v>
      </c>
      <c r="B114" s="5" t="n">
        <v>28</v>
      </c>
      <c r="C114" s="5" t="n">
        <v>5</v>
      </c>
      <c r="D114" s="5" t="s">
        <v>516</v>
      </c>
      <c r="E114" s="5" t="s">
        <v>409</v>
      </c>
      <c r="F114" s="5" t="n">
        <v>6</v>
      </c>
      <c r="G114" s="5" t="n">
        <v>5</v>
      </c>
      <c r="H114" s="5" t="s">
        <v>517</v>
      </c>
      <c r="I114" s="5" t="s">
        <v>411</v>
      </c>
      <c r="J114" s="5" t="s">
        <v>518</v>
      </c>
      <c r="K114" s="11" t="s">
        <v>47</v>
      </c>
    </row>
    <row r="115" customFormat="false" ht="15" hidden="false" customHeight="false" outlineLevel="0" collapsed="false">
      <c r="A115" s="5" t="s">
        <v>666</v>
      </c>
      <c r="B115" s="5" t="n">
        <v>28</v>
      </c>
      <c r="C115" s="5" t="n">
        <v>6</v>
      </c>
      <c r="D115" s="5" t="s">
        <v>520</v>
      </c>
      <c r="E115" s="5" t="s">
        <v>409</v>
      </c>
      <c r="F115" s="5" t="n">
        <v>5</v>
      </c>
      <c r="G115" s="5" t="n">
        <v>5</v>
      </c>
      <c r="H115" s="5" t="s">
        <v>521</v>
      </c>
      <c r="I115" s="5" t="s">
        <v>432</v>
      </c>
      <c r="J115" s="5" t="s">
        <v>522</v>
      </c>
      <c r="K115" s="11" t="s">
        <v>47</v>
      </c>
    </row>
    <row r="116" customFormat="false" ht="15" hidden="false" customHeight="false" outlineLevel="0" collapsed="false">
      <c r="A116" s="5" t="s">
        <v>667</v>
      </c>
      <c r="B116" s="5" t="n">
        <v>28</v>
      </c>
      <c r="C116" s="5" t="n">
        <v>7</v>
      </c>
      <c r="D116" s="5" t="s">
        <v>524</v>
      </c>
      <c r="E116" s="5" t="s">
        <v>409</v>
      </c>
      <c r="F116" s="5" t="n">
        <v>10</v>
      </c>
      <c r="G116" s="5" t="n">
        <v>4</v>
      </c>
      <c r="H116" s="5" t="s">
        <v>525</v>
      </c>
      <c r="I116" s="5" t="s">
        <v>411</v>
      </c>
      <c r="J116" s="5" t="s">
        <v>526</v>
      </c>
      <c r="K116" s="11" t="s">
        <v>47</v>
      </c>
    </row>
    <row r="117" customFormat="false" ht="15" hidden="false" customHeight="false" outlineLevel="0" collapsed="false">
      <c r="A117" s="5" t="s">
        <v>668</v>
      </c>
      <c r="B117" s="5" t="n">
        <v>28</v>
      </c>
      <c r="C117" s="5" t="n">
        <v>8</v>
      </c>
      <c r="D117" s="5" t="s">
        <v>528</v>
      </c>
      <c r="E117" s="5" t="s">
        <v>409</v>
      </c>
      <c r="F117" s="5" t="n">
        <v>5</v>
      </c>
      <c r="G117" s="5" t="n">
        <v>3</v>
      </c>
      <c r="H117" s="5" t="s">
        <v>529</v>
      </c>
      <c r="I117" s="5" t="s">
        <v>411</v>
      </c>
      <c r="J117" s="5" t="s">
        <v>530</v>
      </c>
      <c r="K117" s="11" t="s">
        <v>47</v>
      </c>
    </row>
    <row r="118" customFormat="false" ht="15" hidden="false" customHeight="false" outlineLevel="0" collapsed="false">
      <c r="A118" s="5" t="s">
        <v>669</v>
      </c>
      <c r="B118" s="5" t="n">
        <v>28</v>
      </c>
      <c r="C118" s="5" t="n">
        <v>9</v>
      </c>
      <c r="D118" s="5" t="s">
        <v>532</v>
      </c>
      <c r="E118" s="5" t="s">
        <v>409</v>
      </c>
      <c r="F118" s="5" t="n">
        <v>4</v>
      </c>
      <c r="G118" s="5" t="n">
        <v>3</v>
      </c>
      <c r="H118" s="5" t="s">
        <v>533</v>
      </c>
      <c r="I118" s="5" t="s">
        <v>411</v>
      </c>
      <c r="J118" s="5" t="s">
        <v>534</v>
      </c>
      <c r="K118" s="11" t="s">
        <v>47</v>
      </c>
    </row>
    <row r="119" customFormat="false" ht="15" hidden="false" customHeight="false" outlineLevel="0" collapsed="false">
      <c r="A119" s="5" t="s">
        <v>670</v>
      </c>
      <c r="B119" s="5" t="n">
        <v>28</v>
      </c>
      <c r="C119" s="5" t="n">
        <v>10</v>
      </c>
      <c r="D119" s="5" t="s">
        <v>536</v>
      </c>
      <c r="E119" s="5" t="s">
        <v>409</v>
      </c>
      <c r="F119" s="5" t="n">
        <v>3</v>
      </c>
      <c r="G119" s="5" t="n">
        <v>3</v>
      </c>
      <c r="H119" s="5" t="s">
        <v>537</v>
      </c>
      <c r="I119" s="5" t="s">
        <v>411</v>
      </c>
      <c r="J119" s="5" t="s">
        <v>538</v>
      </c>
      <c r="K119" s="11" t="s">
        <v>47</v>
      </c>
    </row>
    <row r="120" customFormat="false" ht="15" hidden="false" customHeight="false" outlineLevel="0" collapsed="false">
      <c r="A120" s="5" t="s">
        <v>671</v>
      </c>
      <c r="B120" s="5" t="n">
        <v>28</v>
      </c>
      <c r="C120" s="5" t="n">
        <v>11</v>
      </c>
      <c r="D120" s="5" t="s">
        <v>540</v>
      </c>
      <c r="E120" s="5" t="s">
        <v>409</v>
      </c>
      <c r="F120" s="5" t="n">
        <v>3</v>
      </c>
      <c r="G120" s="5" t="n">
        <v>3</v>
      </c>
      <c r="H120" s="5" t="s">
        <v>541</v>
      </c>
      <c r="I120" s="5" t="s">
        <v>411</v>
      </c>
      <c r="J120" s="5" t="s">
        <v>542</v>
      </c>
      <c r="K120" s="11" t="s">
        <v>47</v>
      </c>
    </row>
    <row r="121" customFormat="false" ht="15" hidden="false" customHeight="false" outlineLevel="0" collapsed="false">
      <c r="A121" s="5" t="s">
        <v>672</v>
      </c>
      <c r="B121" s="5" t="n">
        <v>28</v>
      </c>
      <c r="C121" s="5" t="n">
        <v>12</v>
      </c>
      <c r="D121" s="5" t="s">
        <v>544</v>
      </c>
      <c r="E121" s="5" t="s">
        <v>409</v>
      </c>
      <c r="F121" s="5" t="n">
        <v>3</v>
      </c>
      <c r="G121" s="5" t="n">
        <v>2</v>
      </c>
      <c r="H121" s="5" t="s">
        <v>545</v>
      </c>
      <c r="I121" s="5" t="s">
        <v>411</v>
      </c>
      <c r="J121" s="5" t="s">
        <v>546</v>
      </c>
      <c r="K121" s="11" t="s">
        <v>47</v>
      </c>
    </row>
    <row r="122" customFormat="false" ht="15" hidden="false" customHeight="false" outlineLevel="0" collapsed="false">
      <c r="A122" s="5" t="s">
        <v>673</v>
      </c>
      <c r="B122" s="5" t="n">
        <v>28</v>
      </c>
      <c r="C122" s="5" t="n">
        <v>13</v>
      </c>
      <c r="D122" s="5" t="s">
        <v>548</v>
      </c>
      <c r="E122" s="5" t="s">
        <v>409</v>
      </c>
      <c r="F122" s="5" t="n">
        <v>3</v>
      </c>
      <c r="G122" s="5" t="n">
        <v>2</v>
      </c>
      <c r="H122" s="5" t="s">
        <v>549</v>
      </c>
      <c r="I122" s="5" t="s">
        <v>411</v>
      </c>
      <c r="J122" s="5" t="s">
        <v>550</v>
      </c>
      <c r="K122" s="11" t="s">
        <v>47</v>
      </c>
    </row>
    <row r="123" customFormat="false" ht="15" hidden="false" customHeight="false" outlineLevel="0" collapsed="false">
      <c r="A123" s="5" t="s">
        <v>674</v>
      </c>
      <c r="B123" s="5" t="n">
        <v>28</v>
      </c>
      <c r="C123" s="5" t="n">
        <v>14</v>
      </c>
      <c r="D123" s="5" t="s">
        <v>552</v>
      </c>
      <c r="E123" s="5" t="s">
        <v>409</v>
      </c>
      <c r="F123" s="5" t="n">
        <v>3</v>
      </c>
      <c r="G123" s="5" t="n">
        <v>2</v>
      </c>
      <c r="H123" s="5" t="s">
        <v>553</v>
      </c>
      <c r="I123" s="5" t="s">
        <v>411</v>
      </c>
      <c r="J123" s="5" t="s">
        <v>554</v>
      </c>
      <c r="K123" s="11" t="s">
        <v>47</v>
      </c>
    </row>
    <row r="124" customFormat="false" ht="15" hidden="false" customHeight="false" outlineLevel="0" collapsed="false">
      <c r="A124" s="5" t="s">
        <v>675</v>
      </c>
      <c r="B124" s="5" t="n">
        <v>28</v>
      </c>
      <c r="C124" s="5" t="n">
        <v>15</v>
      </c>
      <c r="D124" s="5" t="s">
        <v>556</v>
      </c>
      <c r="E124" s="5" t="s">
        <v>409</v>
      </c>
      <c r="F124" s="5" t="n">
        <v>2</v>
      </c>
      <c r="G124" s="5" t="n">
        <v>2</v>
      </c>
      <c r="H124" s="5" t="s">
        <v>557</v>
      </c>
      <c r="I124" s="5" t="s">
        <v>411</v>
      </c>
      <c r="J124" s="5" t="s">
        <v>558</v>
      </c>
      <c r="K124" s="11" t="s">
        <v>47</v>
      </c>
    </row>
    <row r="125" customFormat="false" ht="15" hidden="false" customHeight="false" outlineLevel="0" collapsed="false">
      <c r="A125" s="5" t="s">
        <v>676</v>
      </c>
      <c r="B125" s="5" t="n">
        <v>28</v>
      </c>
      <c r="C125" s="5" t="n">
        <v>16</v>
      </c>
      <c r="D125" s="5" t="s">
        <v>560</v>
      </c>
      <c r="E125" s="5" t="s">
        <v>409</v>
      </c>
      <c r="F125" s="5" t="n">
        <v>2</v>
      </c>
      <c r="G125" s="5" t="n">
        <v>2</v>
      </c>
      <c r="H125" s="5" t="s">
        <v>561</v>
      </c>
      <c r="I125" s="5" t="s">
        <v>411</v>
      </c>
      <c r="J125" s="5" t="s">
        <v>562</v>
      </c>
      <c r="K125" s="11" t="s">
        <v>47</v>
      </c>
    </row>
    <row r="126" customFormat="false" ht="15" hidden="false" customHeight="false" outlineLevel="0" collapsed="false">
      <c r="A126" s="5" t="s">
        <v>677</v>
      </c>
      <c r="B126" s="5" t="n">
        <v>28</v>
      </c>
      <c r="C126" s="5" t="n">
        <v>17</v>
      </c>
      <c r="D126" s="5" t="s">
        <v>564</v>
      </c>
      <c r="E126" s="5" t="s">
        <v>409</v>
      </c>
      <c r="F126" s="5" t="n">
        <v>2</v>
      </c>
      <c r="G126" s="5" t="n">
        <v>2</v>
      </c>
      <c r="H126" s="5" t="s">
        <v>565</v>
      </c>
      <c r="I126" s="5" t="s">
        <v>411</v>
      </c>
      <c r="J126" s="5" t="s">
        <v>566</v>
      </c>
      <c r="K126" s="11" t="s">
        <v>47</v>
      </c>
    </row>
    <row r="127" customFormat="false" ht="15" hidden="false" customHeight="false" outlineLevel="0" collapsed="false">
      <c r="A127" s="5" t="s">
        <v>678</v>
      </c>
      <c r="B127" s="5" t="n">
        <v>28</v>
      </c>
      <c r="C127" s="5" t="n">
        <v>18</v>
      </c>
      <c r="D127" s="5" t="s">
        <v>568</v>
      </c>
      <c r="E127" s="5" t="s">
        <v>409</v>
      </c>
      <c r="F127" s="5" t="n">
        <v>2</v>
      </c>
      <c r="G127" s="5" t="n">
        <v>2</v>
      </c>
      <c r="H127" s="5" t="s">
        <v>569</v>
      </c>
      <c r="I127" s="5" t="s">
        <v>411</v>
      </c>
      <c r="J127" s="5" t="s">
        <v>570</v>
      </c>
      <c r="K127" s="11" t="s">
        <v>47</v>
      </c>
    </row>
    <row r="128" customFormat="false" ht="15" hidden="false" customHeight="false" outlineLevel="0" collapsed="false">
      <c r="A128" s="5" t="s">
        <v>679</v>
      </c>
      <c r="B128" s="5" t="n">
        <v>28</v>
      </c>
      <c r="C128" s="5" t="n">
        <v>19</v>
      </c>
      <c r="D128" s="5" t="s">
        <v>572</v>
      </c>
      <c r="E128" s="5" t="s">
        <v>409</v>
      </c>
      <c r="F128" s="5" t="n">
        <v>2</v>
      </c>
      <c r="G128" s="5" t="n">
        <v>1</v>
      </c>
      <c r="H128" s="5" t="s">
        <v>573</v>
      </c>
      <c r="I128" s="5" t="s">
        <v>411</v>
      </c>
      <c r="J128" s="5" t="s">
        <v>574</v>
      </c>
      <c r="K128" s="11" t="s">
        <v>47</v>
      </c>
    </row>
    <row r="129" customFormat="false" ht="15" hidden="false" customHeight="false" outlineLevel="0" collapsed="false">
      <c r="A129" s="5" t="s">
        <v>680</v>
      </c>
      <c r="B129" s="5" t="n">
        <v>28</v>
      </c>
      <c r="C129" s="5" t="n">
        <v>20</v>
      </c>
      <c r="D129" s="5" t="s">
        <v>576</v>
      </c>
      <c r="E129" s="5" t="s">
        <v>409</v>
      </c>
      <c r="F129" s="5" t="n">
        <v>2</v>
      </c>
      <c r="G129" s="5" t="n">
        <v>1</v>
      </c>
      <c r="H129" s="5" t="s">
        <v>577</v>
      </c>
      <c r="I129" s="5" t="s">
        <v>411</v>
      </c>
      <c r="J129" s="5" t="s">
        <v>578</v>
      </c>
      <c r="K129" s="11" t="s">
        <v>47</v>
      </c>
    </row>
    <row r="130" customFormat="false" ht="15" hidden="false" customHeight="false" outlineLevel="0" collapsed="false">
      <c r="A130" s="5" t="s">
        <v>681</v>
      </c>
      <c r="B130" s="5" t="n">
        <v>28</v>
      </c>
      <c r="C130" s="5" t="n">
        <v>21</v>
      </c>
      <c r="D130" s="5" t="s">
        <v>580</v>
      </c>
      <c r="E130" s="5" t="s">
        <v>409</v>
      </c>
      <c r="F130" s="5" t="n">
        <v>2</v>
      </c>
      <c r="G130" s="5" t="n">
        <v>1</v>
      </c>
      <c r="H130" s="5" t="s">
        <v>581</v>
      </c>
      <c r="I130" s="5" t="s">
        <v>411</v>
      </c>
      <c r="J130" s="5" t="s">
        <v>582</v>
      </c>
      <c r="K130" s="11" t="s">
        <v>47</v>
      </c>
    </row>
    <row r="131" customFormat="false" ht="15" hidden="false" customHeight="false" outlineLevel="0" collapsed="false">
      <c r="A131" s="5" t="s">
        <v>682</v>
      </c>
      <c r="B131" s="5" t="n">
        <v>28</v>
      </c>
      <c r="C131" s="5" t="n">
        <v>22</v>
      </c>
      <c r="D131" s="5" t="s">
        <v>584</v>
      </c>
      <c r="E131" s="5" t="s">
        <v>409</v>
      </c>
      <c r="F131" s="5" t="n">
        <v>1</v>
      </c>
      <c r="G131" s="5" t="n">
        <v>1</v>
      </c>
      <c r="H131" s="5" t="s">
        <v>585</v>
      </c>
      <c r="I131" s="5" t="s">
        <v>411</v>
      </c>
      <c r="J131" s="5" t="s">
        <v>558</v>
      </c>
      <c r="K131" s="11" t="s">
        <v>47</v>
      </c>
    </row>
    <row r="132" customFormat="false" ht="15" hidden="false" customHeight="false" outlineLevel="0" collapsed="false">
      <c r="A132" s="5" t="s">
        <v>683</v>
      </c>
      <c r="B132" s="5" t="n">
        <v>28</v>
      </c>
      <c r="C132" s="5" t="n">
        <v>23</v>
      </c>
      <c r="D132" s="5" t="s">
        <v>587</v>
      </c>
      <c r="E132" s="5" t="s">
        <v>409</v>
      </c>
      <c r="F132" s="5" t="n">
        <v>1</v>
      </c>
      <c r="G132" s="5" t="n">
        <v>1</v>
      </c>
      <c r="H132" s="5" t="s">
        <v>588</v>
      </c>
      <c r="I132" s="5" t="s">
        <v>411</v>
      </c>
      <c r="J132" s="5" t="s">
        <v>558</v>
      </c>
      <c r="K132" s="11" t="s">
        <v>47</v>
      </c>
    </row>
    <row r="133" customFormat="false" ht="15" hidden="false" customHeight="false" outlineLevel="0" collapsed="false">
      <c r="A133" s="5" t="s">
        <v>684</v>
      </c>
      <c r="B133" s="5" t="n">
        <v>28</v>
      </c>
      <c r="C133" s="5" t="n">
        <v>24</v>
      </c>
      <c r="D133" s="5" t="s">
        <v>590</v>
      </c>
      <c r="E133" s="5" t="s">
        <v>409</v>
      </c>
      <c r="F133" s="5" t="n">
        <v>1</v>
      </c>
      <c r="G133" s="5" t="n">
        <v>1</v>
      </c>
      <c r="H133" s="5" t="s">
        <v>591</v>
      </c>
      <c r="I133" s="5" t="s">
        <v>411</v>
      </c>
      <c r="J133" s="5" t="s">
        <v>558</v>
      </c>
      <c r="K133" s="11" t="s">
        <v>47</v>
      </c>
    </row>
    <row r="134" customFormat="false" ht="15" hidden="false" customHeight="false" outlineLevel="0" collapsed="false">
      <c r="A134" s="5" t="s">
        <v>685</v>
      </c>
      <c r="B134" s="5" t="n">
        <v>28</v>
      </c>
      <c r="C134" s="5" t="n">
        <v>25</v>
      </c>
      <c r="D134" s="5" t="s">
        <v>593</v>
      </c>
      <c r="E134" s="5" t="s">
        <v>409</v>
      </c>
      <c r="F134" s="5" t="n">
        <v>1</v>
      </c>
      <c r="G134" s="5" t="n">
        <v>1</v>
      </c>
      <c r="H134" s="5" t="s">
        <v>594</v>
      </c>
      <c r="I134" s="5" t="s">
        <v>411</v>
      </c>
      <c r="J134" s="5" t="s">
        <v>595</v>
      </c>
      <c r="K134" s="11" t="s">
        <v>47</v>
      </c>
    </row>
    <row r="135" customFormat="false" ht="15" hidden="false" customHeight="false" outlineLevel="0" collapsed="false">
      <c r="A135" s="5" t="s">
        <v>686</v>
      </c>
      <c r="B135" s="5" t="n">
        <v>28</v>
      </c>
      <c r="C135" s="5" t="n">
        <v>26</v>
      </c>
      <c r="D135" s="5" t="s">
        <v>597</v>
      </c>
      <c r="E135" s="5" t="s">
        <v>409</v>
      </c>
      <c r="F135" s="5" t="n">
        <v>1</v>
      </c>
      <c r="G135" s="5" t="n">
        <v>1</v>
      </c>
      <c r="H135" s="5" t="s">
        <v>598</v>
      </c>
      <c r="I135" s="5" t="s">
        <v>411</v>
      </c>
      <c r="J135" s="5" t="s">
        <v>599</v>
      </c>
      <c r="K135" s="11" t="s">
        <v>47</v>
      </c>
    </row>
    <row r="136" customFormat="false" ht="15" hidden="false" customHeight="false" outlineLevel="0" collapsed="false">
      <c r="A136" s="5" t="s">
        <v>687</v>
      </c>
      <c r="B136" s="5" t="n">
        <v>28</v>
      </c>
      <c r="C136" s="5" t="n">
        <v>27</v>
      </c>
      <c r="D136" s="5" t="s">
        <v>601</v>
      </c>
      <c r="E136" s="5" t="s">
        <v>409</v>
      </c>
      <c r="F136" s="5" t="n">
        <v>7</v>
      </c>
      <c r="G136" s="5" t="n">
        <v>0</v>
      </c>
      <c r="H136" s="5"/>
      <c r="I136" s="5" t="s">
        <v>411</v>
      </c>
      <c r="J136" s="5"/>
      <c r="K136" s="11" t="s">
        <v>47</v>
      </c>
    </row>
    <row r="137" customFormat="false" ht="15" hidden="false" customHeight="false" outlineLevel="0" collapsed="false">
      <c r="A137" s="5" t="s">
        <v>688</v>
      </c>
      <c r="B137" s="5" t="n">
        <v>28</v>
      </c>
      <c r="C137" s="5" t="n">
        <v>28</v>
      </c>
      <c r="D137" s="5" t="s">
        <v>603</v>
      </c>
      <c r="E137" s="5" t="s">
        <v>409</v>
      </c>
      <c r="F137" s="5" t="n">
        <v>3</v>
      </c>
      <c r="G137" s="5" t="n">
        <v>0</v>
      </c>
      <c r="H137" s="5"/>
      <c r="I137" s="5" t="s">
        <v>411</v>
      </c>
      <c r="J137" s="5"/>
      <c r="K137" s="11" t="s">
        <v>47</v>
      </c>
    </row>
    <row r="138" customFormat="false" ht="15" hidden="false" customHeight="false" outlineLevel="0" collapsed="false">
      <c r="A138" s="5" t="s">
        <v>689</v>
      </c>
      <c r="B138" s="5" t="n">
        <v>28</v>
      </c>
      <c r="C138" s="5" t="n">
        <v>29</v>
      </c>
      <c r="D138" s="5" t="s">
        <v>605</v>
      </c>
      <c r="E138" s="5" t="s">
        <v>409</v>
      </c>
      <c r="F138" s="5" t="n">
        <v>2</v>
      </c>
      <c r="G138" s="5" t="n">
        <v>0</v>
      </c>
      <c r="H138" s="5"/>
      <c r="I138" s="5" t="s">
        <v>411</v>
      </c>
      <c r="J138" s="5"/>
      <c r="K138" s="11" t="s">
        <v>47</v>
      </c>
    </row>
    <row r="139" customFormat="false" ht="15" hidden="false" customHeight="false" outlineLevel="0" collapsed="false">
      <c r="A139" s="5" t="s">
        <v>690</v>
      </c>
      <c r="B139" s="5" t="n">
        <v>28</v>
      </c>
      <c r="C139" s="5" t="n">
        <v>30</v>
      </c>
      <c r="D139" s="5" t="s">
        <v>607</v>
      </c>
      <c r="E139" s="5" t="s">
        <v>409</v>
      </c>
      <c r="F139" s="5" t="n">
        <v>0</v>
      </c>
      <c r="G139" s="5" t="n">
        <v>0</v>
      </c>
      <c r="H139" s="5"/>
      <c r="I139" s="5" t="s">
        <v>411</v>
      </c>
      <c r="J139" s="5"/>
      <c r="K139" s="11" t="s">
        <v>47</v>
      </c>
    </row>
    <row r="140" customFormat="false" ht="15" hidden="false" customHeight="false" outlineLevel="0" collapsed="false">
      <c r="A140" s="5" t="s">
        <v>691</v>
      </c>
      <c r="B140" s="5" t="n">
        <v>28</v>
      </c>
      <c r="C140" s="5" t="n">
        <v>31</v>
      </c>
      <c r="D140" s="5" t="s">
        <v>609</v>
      </c>
      <c r="E140" s="5" t="s">
        <v>409</v>
      </c>
      <c r="F140" s="5" t="n">
        <v>0</v>
      </c>
      <c r="G140" s="5" t="n">
        <v>0</v>
      </c>
      <c r="H140" s="5"/>
      <c r="I140" s="5" t="s">
        <v>411</v>
      </c>
      <c r="J140" s="5"/>
      <c r="K140" s="11" t="s">
        <v>47</v>
      </c>
    </row>
    <row r="141" customFormat="false" ht="15" hidden="false" customHeight="false" outlineLevel="0" collapsed="false">
      <c r="A141" s="5" t="s">
        <v>692</v>
      </c>
      <c r="B141" s="5" t="n">
        <v>28</v>
      </c>
      <c r="C141" s="5" t="n">
        <v>32</v>
      </c>
      <c r="D141" s="5" t="s">
        <v>611</v>
      </c>
      <c r="E141" s="5" t="s">
        <v>409</v>
      </c>
      <c r="F141" s="5" t="n">
        <v>0</v>
      </c>
      <c r="G141" s="5" t="n">
        <v>0</v>
      </c>
      <c r="H141" s="5"/>
      <c r="I141" s="5" t="s">
        <v>411</v>
      </c>
      <c r="J141" s="5"/>
      <c r="K141" s="11" t="s">
        <v>47</v>
      </c>
    </row>
    <row r="142" customFormat="false" ht="15" hidden="false" customHeight="false" outlineLevel="0" collapsed="false">
      <c r="A142" s="5" t="s">
        <v>693</v>
      </c>
      <c r="B142" s="5" t="n">
        <v>28</v>
      </c>
      <c r="C142" s="5" t="n">
        <v>33</v>
      </c>
      <c r="D142" s="5" t="s">
        <v>613</v>
      </c>
      <c r="E142" s="5" t="s">
        <v>409</v>
      </c>
      <c r="F142" s="5" t="n">
        <v>0</v>
      </c>
      <c r="G142" s="5" t="n">
        <v>0</v>
      </c>
      <c r="H142" s="5"/>
      <c r="I142" s="5" t="s">
        <v>411</v>
      </c>
      <c r="J142" s="5"/>
      <c r="K142" s="11" t="s">
        <v>47</v>
      </c>
    </row>
    <row r="143" customFormat="false" ht="15" hidden="false" customHeight="false" outlineLevel="0" collapsed="false">
      <c r="A143" s="5" t="s">
        <v>694</v>
      </c>
      <c r="B143" s="5" t="n">
        <v>28</v>
      </c>
      <c r="C143" s="5" t="n">
        <v>34</v>
      </c>
      <c r="D143" s="5" t="s">
        <v>615</v>
      </c>
      <c r="E143" s="5" t="s">
        <v>409</v>
      </c>
      <c r="F143" s="5" t="n">
        <v>0</v>
      </c>
      <c r="G143" s="5" t="n">
        <v>0</v>
      </c>
      <c r="H143" s="5"/>
      <c r="I143" s="5" t="s">
        <v>411</v>
      </c>
      <c r="J143" s="5"/>
      <c r="K143" s="11" t="s">
        <v>47</v>
      </c>
    </row>
    <row r="144" customFormat="false" ht="15" hidden="false" customHeight="false" outlineLevel="0" collapsed="false">
      <c r="A144" s="5" t="s">
        <v>695</v>
      </c>
      <c r="B144" s="5" t="n">
        <v>28</v>
      </c>
      <c r="C144" s="5" t="n">
        <v>35</v>
      </c>
      <c r="D144" s="5" t="s">
        <v>617</v>
      </c>
      <c r="E144" s="5" t="s">
        <v>409</v>
      </c>
      <c r="F144" s="5" t="n">
        <v>0</v>
      </c>
      <c r="G144" s="5" t="n">
        <v>0</v>
      </c>
      <c r="H144" s="5"/>
      <c r="I144" s="5" t="s">
        <v>411</v>
      </c>
      <c r="J144" s="5"/>
      <c r="K144" s="11" t="s">
        <v>47</v>
      </c>
    </row>
    <row r="145" customFormat="false" ht="15" hidden="false" customHeight="false" outlineLevel="0" collapsed="false">
      <c r="A145" s="5" t="s">
        <v>696</v>
      </c>
      <c r="B145" s="5" t="n">
        <v>28</v>
      </c>
      <c r="C145" s="5" t="n">
        <v>36</v>
      </c>
      <c r="D145" s="5" t="s">
        <v>619</v>
      </c>
      <c r="E145" s="5" t="s">
        <v>409</v>
      </c>
      <c r="F145" s="5" t="n">
        <v>0</v>
      </c>
      <c r="G145" s="5" t="n">
        <v>0</v>
      </c>
      <c r="H145" s="5"/>
      <c r="I145" s="5" t="s">
        <v>432</v>
      </c>
      <c r="J145" s="5"/>
      <c r="K145" s="11" t="s">
        <v>47</v>
      </c>
    </row>
    <row r="146" customFormat="false" ht="15" hidden="false" customHeight="false" outlineLevel="0" collapsed="false">
      <c r="A146" s="5" t="s">
        <v>697</v>
      </c>
      <c r="B146" s="5" t="n">
        <v>28</v>
      </c>
      <c r="C146" s="5" t="n">
        <v>37</v>
      </c>
      <c r="D146" s="5" t="s">
        <v>621</v>
      </c>
      <c r="E146" s="5" t="s">
        <v>409</v>
      </c>
      <c r="F146" s="5" t="n">
        <v>0</v>
      </c>
      <c r="G146" s="5" t="n">
        <v>0</v>
      </c>
      <c r="H146" s="5"/>
      <c r="I146" s="5" t="s">
        <v>432</v>
      </c>
      <c r="J146" s="5"/>
      <c r="K146" s="11" t="s">
        <v>47</v>
      </c>
    </row>
    <row r="147" customFormat="false" ht="15" hidden="false" customHeight="false" outlineLevel="0" collapsed="false">
      <c r="A147" s="5" t="s">
        <v>698</v>
      </c>
      <c r="B147" s="5" t="n">
        <v>30</v>
      </c>
      <c r="C147" s="5" t="n">
        <v>1</v>
      </c>
      <c r="D147" s="5" t="s">
        <v>176</v>
      </c>
      <c r="E147" s="5" t="s">
        <v>409</v>
      </c>
      <c r="F147" s="5" t="n">
        <v>14</v>
      </c>
      <c r="G147" s="5" t="n">
        <v>12</v>
      </c>
      <c r="H147" s="5" t="s">
        <v>699</v>
      </c>
      <c r="I147" s="5" t="s">
        <v>432</v>
      </c>
      <c r="J147" s="5" t="s">
        <v>700</v>
      </c>
      <c r="K147" s="11" t="s">
        <v>47</v>
      </c>
    </row>
    <row r="148" customFormat="false" ht="15" hidden="false" customHeight="false" outlineLevel="0" collapsed="false">
      <c r="A148" s="5" t="s">
        <v>701</v>
      </c>
      <c r="B148" s="5" t="n">
        <v>30</v>
      </c>
      <c r="C148" s="5" t="n">
        <v>2</v>
      </c>
      <c r="D148" s="5" t="s">
        <v>702</v>
      </c>
      <c r="E148" s="5" t="s">
        <v>409</v>
      </c>
      <c r="F148" s="5" t="n">
        <v>9</v>
      </c>
      <c r="G148" s="5" t="n">
        <v>6</v>
      </c>
      <c r="H148" s="5" t="s">
        <v>703</v>
      </c>
      <c r="I148" s="5" t="s">
        <v>432</v>
      </c>
      <c r="J148" s="5" t="s">
        <v>704</v>
      </c>
      <c r="K148" s="11" t="s">
        <v>47</v>
      </c>
    </row>
    <row r="149" customFormat="false" ht="15" hidden="false" customHeight="false" outlineLevel="0" collapsed="false">
      <c r="A149" s="5" t="s">
        <v>705</v>
      </c>
      <c r="B149" s="5" t="n">
        <v>31</v>
      </c>
      <c r="C149" s="5" t="n">
        <v>1</v>
      </c>
      <c r="D149" s="5" t="s">
        <v>182</v>
      </c>
      <c r="E149" s="5" t="s">
        <v>409</v>
      </c>
      <c r="F149" s="5" t="n">
        <v>2</v>
      </c>
      <c r="G149" s="5" t="n">
        <v>2</v>
      </c>
      <c r="H149" s="5" t="s">
        <v>706</v>
      </c>
      <c r="I149" s="5" t="s">
        <v>432</v>
      </c>
      <c r="J149" s="5" t="s">
        <v>707</v>
      </c>
      <c r="K149" s="11" t="s">
        <v>47</v>
      </c>
    </row>
    <row r="150" customFormat="false" ht="15" hidden="false" customHeight="false" outlineLevel="0" collapsed="false">
      <c r="A150" s="5" t="s">
        <v>708</v>
      </c>
      <c r="B150" s="5" t="n">
        <v>31</v>
      </c>
      <c r="C150" s="5" t="n">
        <v>2</v>
      </c>
      <c r="D150" s="5" t="s">
        <v>709</v>
      </c>
      <c r="E150" s="5" t="s">
        <v>409</v>
      </c>
      <c r="F150" s="5" t="n">
        <v>8</v>
      </c>
      <c r="G150" s="5" t="n">
        <v>1</v>
      </c>
      <c r="H150" s="5" t="s">
        <v>710</v>
      </c>
      <c r="I150" s="5" t="s">
        <v>432</v>
      </c>
      <c r="J150" s="5" t="s">
        <v>711</v>
      </c>
      <c r="K150" s="11" t="s">
        <v>47</v>
      </c>
    </row>
    <row r="151" customFormat="false" ht="15" hidden="false" customHeight="false" outlineLevel="0" collapsed="false">
      <c r="A151" s="5" t="s">
        <v>712</v>
      </c>
      <c r="B151" s="5" t="n">
        <v>31</v>
      </c>
      <c r="C151" s="5" t="n">
        <v>3</v>
      </c>
      <c r="D151" s="5" t="s">
        <v>713</v>
      </c>
      <c r="E151" s="5" t="s">
        <v>409</v>
      </c>
      <c r="F151" s="5" t="n">
        <v>1</v>
      </c>
      <c r="G151" s="5" t="n">
        <v>1</v>
      </c>
      <c r="H151" s="5" t="s">
        <v>714</v>
      </c>
      <c r="I151" s="5" t="s">
        <v>432</v>
      </c>
      <c r="J151" s="5" t="s">
        <v>715</v>
      </c>
      <c r="K151" s="11" t="s">
        <v>47</v>
      </c>
    </row>
    <row r="152" customFormat="false" ht="15" hidden="false" customHeight="false" outlineLevel="0" collapsed="false">
      <c r="A152" s="5" t="s">
        <v>716</v>
      </c>
      <c r="B152" s="5" t="n">
        <v>31</v>
      </c>
      <c r="C152" s="5" t="n">
        <v>4</v>
      </c>
      <c r="D152" s="5" t="s">
        <v>717</v>
      </c>
      <c r="E152" s="5" t="s">
        <v>409</v>
      </c>
      <c r="F152" s="5" t="n">
        <v>4</v>
      </c>
      <c r="G152" s="5" t="n">
        <v>0</v>
      </c>
      <c r="H152" s="5"/>
      <c r="I152" s="5" t="s">
        <v>432</v>
      </c>
      <c r="J152" s="5"/>
      <c r="K152" s="11" t="s">
        <v>47</v>
      </c>
    </row>
    <row r="153" customFormat="false" ht="15" hidden="false" customHeight="false" outlineLevel="0" collapsed="false">
      <c r="A153" s="5" t="s">
        <v>718</v>
      </c>
      <c r="B153" s="5" t="n">
        <v>32</v>
      </c>
      <c r="C153" s="5" t="n">
        <v>1</v>
      </c>
      <c r="D153" s="5" t="s">
        <v>187</v>
      </c>
      <c r="E153" s="5" t="s">
        <v>409</v>
      </c>
      <c r="F153" s="5" t="n">
        <v>19</v>
      </c>
      <c r="G153" s="5" t="n">
        <v>15</v>
      </c>
      <c r="H153" s="5" t="s">
        <v>719</v>
      </c>
      <c r="I153" s="5" t="s">
        <v>432</v>
      </c>
      <c r="J153" s="5" t="s">
        <v>720</v>
      </c>
      <c r="K153" s="11" t="s">
        <v>47</v>
      </c>
    </row>
    <row r="154" customFormat="false" ht="15" hidden="false" customHeight="false" outlineLevel="0" collapsed="false">
      <c r="A154" s="5" t="s">
        <v>721</v>
      </c>
      <c r="B154" s="5" t="n">
        <v>32</v>
      </c>
      <c r="C154" s="5" t="n">
        <v>2</v>
      </c>
      <c r="D154" s="5" t="s">
        <v>722</v>
      </c>
      <c r="E154" s="5" t="s">
        <v>409</v>
      </c>
      <c r="F154" s="5" t="n">
        <v>15</v>
      </c>
      <c r="G154" s="5" t="n">
        <v>15</v>
      </c>
      <c r="H154" s="5" t="s">
        <v>723</v>
      </c>
      <c r="I154" s="5" t="s">
        <v>432</v>
      </c>
      <c r="J154" s="5" t="s">
        <v>724</v>
      </c>
      <c r="K154" s="11" t="s">
        <v>47</v>
      </c>
    </row>
    <row r="155" customFormat="false" ht="15" hidden="false" customHeight="false" outlineLevel="0" collapsed="false">
      <c r="A155" s="5" t="s">
        <v>725</v>
      </c>
      <c r="B155" s="5" t="n">
        <v>32</v>
      </c>
      <c r="C155" s="5" t="n">
        <v>3</v>
      </c>
      <c r="D155" s="5" t="s">
        <v>726</v>
      </c>
      <c r="E155" s="5" t="s">
        <v>409</v>
      </c>
      <c r="F155" s="5" t="n">
        <v>6</v>
      </c>
      <c r="G155" s="5" t="n">
        <v>2</v>
      </c>
      <c r="H155" s="5" t="s">
        <v>727</v>
      </c>
      <c r="I155" s="5" t="s">
        <v>432</v>
      </c>
      <c r="J155" s="5" t="s">
        <v>728</v>
      </c>
      <c r="K155" s="11" t="s">
        <v>47</v>
      </c>
    </row>
    <row r="156" customFormat="false" ht="15" hidden="false" customHeight="false" outlineLevel="0" collapsed="false">
      <c r="A156" s="5" t="s">
        <v>729</v>
      </c>
      <c r="B156" s="5" t="n">
        <v>32</v>
      </c>
      <c r="C156" s="5" t="n">
        <v>4</v>
      </c>
      <c r="D156" s="5" t="s">
        <v>730</v>
      </c>
      <c r="E156" s="5" t="s">
        <v>409</v>
      </c>
      <c r="F156" s="5" t="n">
        <v>3</v>
      </c>
      <c r="G156" s="5" t="n">
        <v>2</v>
      </c>
      <c r="H156" s="5" t="s">
        <v>731</v>
      </c>
      <c r="I156" s="5" t="s">
        <v>432</v>
      </c>
      <c r="J156" s="5" t="s">
        <v>732</v>
      </c>
      <c r="K156" s="11" t="s">
        <v>47</v>
      </c>
    </row>
    <row r="157" customFormat="false" ht="15" hidden="false" customHeight="false" outlineLevel="0" collapsed="false">
      <c r="A157" s="5" t="s">
        <v>733</v>
      </c>
      <c r="B157" s="5" t="n">
        <v>32</v>
      </c>
      <c r="C157" s="5" t="n">
        <v>5</v>
      </c>
      <c r="D157" s="5" t="s">
        <v>734</v>
      </c>
      <c r="E157" s="5" t="s">
        <v>409</v>
      </c>
      <c r="F157" s="5" t="n">
        <v>1</v>
      </c>
      <c r="G157" s="5" t="n">
        <v>1</v>
      </c>
      <c r="H157" s="5" t="s">
        <v>735</v>
      </c>
      <c r="I157" s="5" t="s">
        <v>432</v>
      </c>
      <c r="J157" s="5" t="s">
        <v>736</v>
      </c>
      <c r="K157" s="11" t="s">
        <v>47</v>
      </c>
    </row>
    <row r="158" customFormat="false" ht="15" hidden="false" customHeight="false" outlineLevel="0" collapsed="false">
      <c r="A158" s="5" t="s">
        <v>737</v>
      </c>
      <c r="B158" s="5" t="n">
        <v>32</v>
      </c>
      <c r="C158" s="5" t="n">
        <v>6</v>
      </c>
      <c r="D158" s="5" t="s">
        <v>738</v>
      </c>
      <c r="E158" s="5" t="s">
        <v>409</v>
      </c>
      <c r="F158" s="5" t="n">
        <v>1</v>
      </c>
      <c r="G158" s="5" t="n">
        <v>0</v>
      </c>
      <c r="H158" s="5"/>
      <c r="I158" s="5" t="s">
        <v>432</v>
      </c>
      <c r="J158" s="5"/>
      <c r="K158" s="11" t="s">
        <v>47</v>
      </c>
    </row>
    <row r="159" customFormat="false" ht="15" hidden="false" customHeight="false" outlineLevel="0" collapsed="false">
      <c r="A159" s="5" t="s">
        <v>739</v>
      </c>
      <c r="B159" s="5" t="n">
        <v>32</v>
      </c>
      <c r="C159" s="5" t="n">
        <v>7</v>
      </c>
      <c r="D159" s="5" t="s">
        <v>740</v>
      </c>
      <c r="E159" s="5" t="s">
        <v>409</v>
      </c>
      <c r="F159" s="5" t="n">
        <v>0</v>
      </c>
      <c r="G159" s="5" t="n">
        <v>0</v>
      </c>
      <c r="H159" s="5"/>
      <c r="I159" s="5" t="s">
        <v>432</v>
      </c>
      <c r="J159" s="5"/>
      <c r="K159" s="11" t="s">
        <v>47</v>
      </c>
    </row>
    <row r="160" customFormat="false" ht="15" hidden="false" customHeight="false" outlineLevel="0" collapsed="false">
      <c r="A160" s="5" t="s">
        <v>741</v>
      </c>
      <c r="B160" s="5" t="n">
        <v>32</v>
      </c>
      <c r="C160" s="5" t="n">
        <v>8</v>
      </c>
      <c r="D160" s="5" t="s">
        <v>742</v>
      </c>
      <c r="E160" s="5" t="s">
        <v>409</v>
      </c>
      <c r="F160" s="5" t="n">
        <v>0</v>
      </c>
      <c r="G160" s="5" t="n">
        <v>0</v>
      </c>
      <c r="H160" s="5"/>
      <c r="I160" s="5" t="s">
        <v>432</v>
      </c>
      <c r="J160" s="5"/>
      <c r="K160" s="11" t="s">
        <v>47</v>
      </c>
    </row>
    <row r="161" customFormat="false" ht="15" hidden="false" customHeight="false" outlineLevel="0" collapsed="false">
      <c r="A161" s="5" t="s">
        <v>743</v>
      </c>
      <c r="B161" s="5" t="n">
        <v>32</v>
      </c>
      <c r="C161" s="5" t="n">
        <v>9</v>
      </c>
      <c r="D161" s="5" t="s">
        <v>744</v>
      </c>
      <c r="E161" s="5" t="s">
        <v>409</v>
      </c>
      <c r="F161" s="5" t="n">
        <v>0</v>
      </c>
      <c r="G161" s="5" t="n">
        <v>0</v>
      </c>
      <c r="H161" s="5"/>
      <c r="I161" s="5" t="s">
        <v>432</v>
      </c>
      <c r="J161" s="5"/>
      <c r="K161" s="11" t="s">
        <v>47</v>
      </c>
    </row>
    <row r="162" customFormat="false" ht="15" hidden="false" customHeight="false" outlineLevel="0" collapsed="false">
      <c r="A162" s="5" t="s">
        <v>745</v>
      </c>
      <c r="B162" s="5" t="n">
        <v>32</v>
      </c>
      <c r="C162" s="5" t="n">
        <v>10</v>
      </c>
      <c r="D162" s="5" t="s">
        <v>746</v>
      </c>
      <c r="E162" s="5" t="s">
        <v>409</v>
      </c>
      <c r="F162" s="5" t="n">
        <v>0</v>
      </c>
      <c r="G162" s="5" t="n">
        <v>0</v>
      </c>
      <c r="H162" s="5"/>
      <c r="I162" s="5" t="s">
        <v>432</v>
      </c>
      <c r="J162" s="5"/>
      <c r="K162" s="11" t="s">
        <v>47</v>
      </c>
    </row>
    <row r="163" customFormat="false" ht="15" hidden="false" customHeight="false" outlineLevel="0" collapsed="false">
      <c r="A163" s="5" t="s">
        <v>747</v>
      </c>
      <c r="B163" s="5" t="n">
        <v>33</v>
      </c>
      <c r="C163" s="5" t="n">
        <v>1</v>
      </c>
      <c r="D163" s="5" t="s">
        <v>193</v>
      </c>
      <c r="E163" s="5" t="s">
        <v>409</v>
      </c>
      <c r="F163" s="5" t="n">
        <v>1</v>
      </c>
      <c r="G163" s="5" t="n">
        <v>1</v>
      </c>
      <c r="H163" s="5" t="s">
        <v>748</v>
      </c>
      <c r="I163" s="5" t="s">
        <v>432</v>
      </c>
      <c r="J163" s="5" t="s">
        <v>749</v>
      </c>
      <c r="K163" s="11" t="s">
        <v>47</v>
      </c>
    </row>
    <row r="164" customFormat="false" ht="15" hidden="false" customHeight="false" outlineLevel="0" collapsed="false">
      <c r="A164" s="5" t="s">
        <v>750</v>
      </c>
      <c r="B164" s="5" t="n">
        <v>33</v>
      </c>
      <c r="C164" s="5" t="n">
        <v>2</v>
      </c>
      <c r="D164" s="5" t="s">
        <v>751</v>
      </c>
      <c r="E164" s="5" t="s">
        <v>409</v>
      </c>
      <c r="F164" s="5" t="n">
        <v>1</v>
      </c>
      <c r="G164" s="5" t="n">
        <v>1</v>
      </c>
      <c r="H164" s="5" t="s">
        <v>752</v>
      </c>
      <c r="I164" s="5" t="s">
        <v>432</v>
      </c>
      <c r="J164" s="5" t="s">
        <v>753</v>
      </c>
      <c r="K164" s="11" t="s">
        <v>47</v>
      </c>
    </row>
    <row r="165" customFormat="false" ht="15" hidden="false" customHeight="false" outlineLevel="0" collapsed="false">
      <c r="A165" s="5" t="s">
        <v>754</v>
      </c>
      <c r="B165" s="5" t="n">
        <v>33</v>
      </c>
      <c r="C165" s="5" t="n">
        <v>3</v>
      </c>
      <c r="D165" s="5" t="s">
        <v>755</v>
      </c>
      <c r="E165" s="5" t="s">
        <v>409</v>
      </c>
      <c r="F165" s="5" t="n">
        <v>7</v>
      </c>
      <c r="G165" s="5" t="n">
        <v>0</v>
      </c>
      <c r="H165" s="5"/>
      <c r="I165" s="5" t="s">
        <v>411</v>
      </c>
      <c r="J165" s="5"/>
      <c r="K165" s="11" t="s">
        <v>47</v>
      </c>
    </row>
    <row r="166" customFormat="false" ht="15" hidden="false" customHeight="false" outlineLevel="0" collapsed="false">
      <c r="A166" s="5" t="s">
        <v>756</v>
      </c>
      <c r="B166" s="5" t="n">
        <v>33</v>
      </c>
      <c r="C166" s="5" t="n">
        <v>4</v>
      </c>
      <c r="D166" s="5" t="s">
        <v>757</v>
      </c>
      <c r="E166" s="5" t="s">
        <v>409</v>
      </c>
      <c r="F166" s="5" t="n">
        <v>7</v>
      </c>
      <c r="G166" s="5" t="n">
        <v>0</v>
      </c>
      <c r="H166" s="5"/>
      <c r="I166" s="5" t="s">
        <v>432</v>
      </c>
      <c r="J166" s="5"/>
      <c r="K166" s="11" t="s">
        <v>47</v>
      </c>
    </row>
    <row r="167" customFormat="false" ht="15" hidden="false" customHeight="false" outlineLevel="0" collapsed="false">
      <c r="A167" s="5" t="s">
        <v>758</v>
      </c>
      <c r="B167" s="5" t="n">
        <v>33</v>
      </c>
      <c r="C167" s="5" t="n">
        <v>5</v>
      </c>
      <c r="D167" s="5" t="s">
        <v>759</v>
      </c>
      <c r="E167" s="5" t="s">
        <v>409</v>
      </c>
      <c r="F167" s="5" t="n">
        <v>6</v>
      </c>
      <c r="G167" s="5" t="n">
        <v>0</v>
      </c>
      <c r="H167" s="5"/>
      <c r="I167" s="5" t="s">
        <v>411</v>
      </c>
      <c r="J167" s="5"/>
      <c r="K167" s="11" t="s">
        <v>47</v>
      </c>
    </row>
    <row r="168" customFormat="false" ht="15" hidden="false" customHeight="false" outlineLevel="0" collapsed="false">
      <c r="A168" s="5" t="s">
        <v>760</v>
      </c>
      <c r="B168" s="5" t="n">
        <v>33</v>
      </c>
      <c r="C168" s="5" t="n">
        <v>6</v>
      </c>
      <c r="D168" s="5" t="s">
        <v>761</v>
      </c>
      <c r="E168" s="5" t="s">
        <v>409</v>
      </c>
      <c r="F168" s="5" t="n">
        <v>2</v>
      </c>
      <c r="G168" s="5" t="n">
        <v>0</v>
      </c>
      <c r="H168" s="5"/>
      <c r="I168" s="5" t="s">
        <v>411</v>
      </c>
      <c r="J168" s="5"/>
      <c r="K168" s="11" t="s">
        <v>47</v>
      </c>
    </row>
    <row r="169" customFormat="false" ht="15" hidden="false" customHeight="false" outlineLevel="0" collapsed="false">
      <c r="A169" s="5" t="s">
        <v>762</v>
      </c>
      <c r="B169" s="5" t="n">
        <v>33</v>
      </c>
      <c r="C169" s="5" t="n">
        <v>7</v>
      </c>
      <c r="D169" s="5" t="s">
        <v>763</v>
      </c>
      <c r="E169" s="5" t="s">
        <v>409</v>
      </c>
      <c r="F169" s="5" t="n">
        <v>0</v>
      </c>
      <c r="G169" s="5" t="n">
        <v>0</v>
      </c>
      <c r="H169" s="5"/>
      <c r="I169" s="5" t="s">
        <v>432</v>
      </c>
      <c r="J169" s="5"/>
      <c r="K169" s="11" t="s">
        <v>47</v>
      </c>
    </row>
    <row r="170" customFormat="false" ht="15" hidden="false" customHeight="false" outlineLevel="0" collapsed="false">
      <c r="A170" s="5" t="s">
        <v>764</v>
      </c>
      <c r="B170" s="5" t="n">
        <v>35</v>
      </c>
      <c r="C170" s="5" t="n">
        <v>1</v>
      </c>
      <c r="D170" s="5" t="s">
        <v>204</v>
      </c>
      <c r="E170" s="5" t="s">
        <v>409</v>
      </c>
      <c r="F170" s="5" t="n">
        <v>11</v>
      </c>
      <c r="G170" s="5" t="n">
        <v>5</v>
      </c>
      <c r="H170" s="5" t="s">
        <v>765</v>
      </c>
      <c r="I170" s="5" t="s">
        <v>411</v>
      </c>
      <c r="J170" s="5" t="s">
        <v>766</v>
      </c>
      <c r="K170" s="11" t="s">
        <v>47</v>
      </c>
    </row>
    <row r="171" customFormat="false" ht="15" hidden="false" customHeight="false" outlineLevel="0" collapsed="false">
      <c r="A171" s="5" t="s">
        <v>767</v>
      </c>
      <c r="B171" s="5" t="n">
        <v>35</v>
      </c>
      <c r="C171" s="5" t="n">
        <v>2</v>
      </c>
      <c r="D171" s="5" t="s">
        <v>768</v>
      </c>
      <c r="E171" s="5" t="s">
        <v>409</v>
      </c>
      <c r="F171" s="5" t="n">
        <v>6</v>
      </c>
      <c r="G171" s="5" t="n">
        <v>4</v>
      </c>
      <c r="H171" s="5" t="s">
        <v>769</v>
      </c>
      <c r="I171" s="5" t="s">
        <v>411</v>
      </c>
      <c r="J171" s="5" t="s">
        <v>770</v>
      </c>
      <c r="K171" s="11" t="s">
        <v>47</v>
      </c>
    </row>
    <row r="172" customFormat="false" ht="15" hidden="false" customHeight="false" outlineLevel="0" collapsed="false">
      <c r="A172" s="5" t="s">
        <v>771</v>
      </c>
      <c r="B172" s="5" t="n">
        <v>35</v>
      </c>
      <c r="C172" s="5" t="n">
        <v>3</v>
      </c>
      <c r="D172" s="5" t="s">
        <v>772</v>
      </c>
      <c r="E172" s="5" t="s">
        <v>409</v>
      </c>
      <c r="F172" s="5" t="n">
        <v>4</v>
      </c>
      <c r="G172" s="5" t="n">
        <v>2</v>
      </c>
      <c r="H172" s="5" t="s">
        <v>773</v>
      </c>
      <c r="I172" s="5" t="s">
        <v>411</v>
      </c>
      <c r="J172" s="5" t="s">
        <v>774</v>
      </c>
      <c r="K172" s="11" t="s">
        <v>47</v>
      </c>
    </row>
    <row r="173" customFormat="false" ht="15" hidden="false" customHeight="false" outlineLevel="0" collapsed="false">
      <c r="A173" s="5" t="s">
        <v>775</v>
      </c>
      <c r="B173" s="5" t="n">
        <v>35</v>
      </c>
      <c r="C173" s="5" t="n">
        <v>4</v>
      </c>
      <c r="D173" s="5" t="s">
        <v>776</v>
      </c>
      <c r="E173" s="5" t="s">
        <v>409</v>
      </c>
      <c r="F173" s="5" t="n">
        <v>3</v>
      </c>
      <c r="G173" s="5" t="n">
        <v>2</v>
      </c>
      <c r="H173" s="5" t="s">
        <v>777</v>
      </c>
      <c r="I173" s="5" t="s">
        <v>411</v>
      </c>
      <c r="J173" s="5" t="s">
        <v>778</v>
      </c>
      <c r="K173" s="11" t="s">
        <v>47</v>
      </c>
    </row>
    <row r="174" customFormat="false" ht="15" hidden="false" customHeight="false" outlineLevel="0" collapsed="false">
      <c r="A174" s="5" t="s">
        <v>779</v>
      </c>
      <c r="B174" s="5" t="n">
        <v>35</v>
      </c>
      <c r="C174" s="5" t="n">
        <v>5</v>
      </c>
      <c r="D174" s="5" t="s">
        <v>780</v>
      </c>
      <c r="E174" s="5" t="s">
        <v>409</v>
      </c>
      <c r="F174" s="5" t="n">
        <v>20</v>
      </c>
      <c r="G174" s="5" t="n">
        <v>1</v>
      </c>
      <c r="H174" s="5" t="s">
        <v>781</v>
      </c>
      <c r="I174" s="5" t="s">
        <v>411</v>
      </c>
      <c r="J174" s="5" t="s">
        <v>782</v>
      </c>
      <c r="K174" s="11" t="s">
        <v>47</v>
      </c>
    </row>
    <row r="175" customFormat="false" ht="15" hidden="false" customHeight="false" outlineLevel="0" collapsed="false">
      <c r="A175" s="5" t="s">
        <v>783</v>
      </c>
      <c r="B175" s="5" t="n">
        <v>35</v>
      </c>
      <c r="C175" s="5" t="n">
        <v>6</v>
      </c>
      <c r="D175" s="5" t="s">
        <v>784</v>
      </c>
      <c r="E175" s="5" t="s">
        <v>409</v>
      </c>
      <c r="F175" s="5" t="n">
        <v>7</v>
      </c>
      <c r="G175" s="5" t="n">
        <v>1</v>
      </c>
      <c r="H175" s="5" t="s">
        <v>785</v>
      </c>
      <c r="I175" s="5" t="s">
        <v>411</v>
      </c>
      <c r="J175" s="5" t="s">
        <v>786</v>
      </c>
      <c r="K175" s="11" t="s">
        <v>47</v>
      </c>
    </row>
    <row r="176" customFormat="false" ht="15" hidden="false" customHeight="false" outlineLevel="0" collapsed="false">
      <c r="A176" s="5" t="s">
        <v>787</v>
      </c>
      <c r="B176" s="5" t="n">
        <v>35</v>
      </c>
      <c r="C176" s="5" t="n">
        <v>7</v>
      </c>
      <c r="D176" s="5" t="s">
        <v>788</v>
      </c>
      <c r="E176" s="5" t="s">
        <v>409</v>
      </c>
      <c r="F176" s="5" t="n">
        <v>7</v>
      </c>
      <c r="G176" s="5" t="n">
        <v>1</v>
      </c>
      <c r="H176" s="5" t="s">
        <v>789</v>
      </c>
      <c r="I176" s="5" t="s">
        <v>432</v>
      </c>
      <c r="J176" s="5" t="s">
        <v>790</v>
      </c>
      <c r="K176" s="11" t="s">
        <v>47</v>
      </c>
    </row>
    <row r="177" customFormat="false" ht="15" hidden="false" customHeight="false" outlineLevel="0" collapsed="false">
      <c r="A177" s="5" t="s">
        <v>791</v>
      </c>
      <c r="B177" s="5" t="n">
        <v>35</v>
      </c>
      <c r="C177" s="5" t="n">
        <v>8</v>
      </c>
      <c r="D177" s="5" t="s">
        <v>792</v>
      </c>
      <c r="E177" s="5" t="s">
        <v>409</v>
      </c>
      <c r="F177" s="5" t="n">
        <v>3</v>
      </c>
      <c r="G177" s="5" t="n">
        <v>1</v>
      </c>
      <c r="H177" s="5" t="s">
        <v>793</v>
      </c>
      <c r="I177" s="5" t="s">
        <v>411</v>
      </c>
      <c r="J177" s="5" t="s">
        <v>794</v>
      </c>
      <c r="K177" s="11" t="s">
        <v>47</v>
      </c>
    </row>
    <row r="178" customFormat="false" ht="15" hidden="false" customHeight="false" outlineLevel="0" collapsed="false">
      <c r="A178" s="5" t="s">
        <v>795</v>
      </c>
      <c r="B178" s="5" t="n">
        <v>37</v>
      </c>
      <c r="C178" s="5" t="n">
        <v>1</v>
      </c>
      <c r="D178" s="5" t="s">
        <v>214</v>
      </c>
      <c r="E178" s="5" t="s">
        <v>409</v>
      </c>
      <c r="F178" s="5" t="n">
        <v>0</v>
      </c>
      <c r="G178" s="5" t="n">
        <v>0</v>
      </c>
      <c r="H178" s="5"/>
      <c r="I178" s="5" t="s">
        <v>411</v>
      </c>
      <c r="J178" s="5"/>
      <c r="K178" s="11" t="s">
        <v>47</v>
      </c>
    </row>
    <row r="179" customFormat="false" ht="15" hidden="false" customHeight="false" outlineLevel="0" collapsed="false">
      <c r="A179" s="5" t="s">
        <v>796</v>
      </c>
      <c r="B179" s="5" t="n">
        <v>41</v>
      </c>
      <c r="C179" s="5" t="n">
        <v>1</v>
      </c>
      <c r="D179" s="5" t="s">
        <v>231</v>
      </c>
      <c r="E179" s="5" t="s">
        <v>409</v>
      </c>
      <c r="F179" s="5" t="n">
        <v>0</v>
      </c>
      <c r="G179" s="5" t="n">
        <v>0</v>
      </c>
      <c r="H179" s="5"/>
      <c r="I179" s="5" t="s">
        <v>411</v>
      </c>
      <c r="J179" s="5"/>
      <c r="K179" s="11" t="s">
        <v>47</v>
      </c>
    </row>
    <row r="180" customFormat="false" ht="15" hidden="false" customHeight="false" outlineLevel="0" collapsed="false">
      <c r="A180" s="5" t="s">
        <v>797</v>
      </c>
      <c r="B180" s="5" t="n">
        <v>43</v>
      </c>
      <c r="C180" s="5" t="n">
        <v>1</v>
      </c>
      <c r="D180" s="5" t="s">
        <v>241</v>
      </c>
      <c r="E180" s="5" t="s">
        <v>409</v>
      </c>
      <c r="F180" s="5" t="n">
        <v>2</v>
      </c>
      <c r="G180" s="5" t="n">
        <v>0</v>
      </c>
      <c r="H180" s="5"/>
      <c r="I180" s="5" t="s">
        <v>432</v>
      </c>
      <c r="J180" s="5"/>
      <c r="K180" s="11" t="s">
        <v>47</v>
      </c>
    </row>
    <row r="181" customFormat="false" ht="15" hidden="false" customHeight="false" outlineLevel="0" collapsed="false">
      <c r="A181" s="5" t="s">
        <v>798</v>
      </c>
      <c r="B181" s="5" t="n">
        <v>43</v>
      </c>
      <c r="C181" s="5" t="n">
        <v>2</v>
      </c>
      <c r="D181" s="5" t="s">
        <v>799</v>
      </c>
      <c r="E181" s="5" t="s">
        <v>409</v>
      </c>
      <c r="F181" s="5" t="n">
        <v>0</v>
      </c>
      <c r="G181" s="5" t="n">
        <v>0</v>
      </c>
      <c r="H181" s="5"/>
      <c r="I181" s="5" t="s">
        <v>432</v>
      </c>
      <c r="J181" s="5"/>
      <c r="K181" s="11" t="s">
        <v>47</v>
      </c>
    </row>
    <row r="182" customFormat="false" ht="15" hidden="false" customHeight="false" outlineLevel="0" collapsed="false">
      <c r="A182" s="5" t="s">
        <v>800</v>
      </c>
      <c r="B182" s="5" t="n">
        <v>43</v>
      </c>
      <c r="C182" s="5" t="n">
        <v>3</v>
      </c>
      <c r="D182" s="5" t="s">
        <v>801</v>
      </c>
      <c r="E182" s="5" t="s">
        <v>409</v>
      </c>
      <c r="F182" s="5" t="n">
        <v>0</v>
      </c>
      <c r="G182" s="5" t="n">
        <v>0</v>
      </c>
      <c r="H182" s="5"/>
      <c r="I182" s="5" t="s">
        <v>432</v>
      </c>
      <c r="J182" s="5"/>
      <c r="K182" s="11" t="s">
        <v>47</v>
      </c>
    </row>
    <row r="183" customFormat="false" ht="15" hidden="false" customHeight="false" outlineLevel="0" collapsed="false">
      <c r="A183" s="5" t="s">
        <v>802</v>
      </c>
      <c r="B183" s="5" t="n">
        <v>44</v>
      </c>
      <c r="C183" s="5" t="n">
        <v>1</v>
      </c>
      <c r="D183" s="5" t="s">
        <v>248</v>
      </c>
      <c r="E183" s="5" t="s">
        <v>409</v>
      </c>
      <c r="F183" s="5" t="n">
        <v>4</v>
      </c>
      <c r="G183" s="5" t="n">
        <v>2</v>
      </c>
      <c r="H183" s="5" t="s">
        <v>803</v>
      </c>
      <c r="I183" s="5" t="s">
        <v>411</v>
      </c>
      <c r="J183" s="5" t="s">
        <v>804</v>
      </c>
      <c r="K183" s="11" t="s">
        <v>47</v>
      </c>
    </row>
    <row r="184" customFormat="false" ht="15" hidden="false" customHeight="false" outlineLevel="0" collapsed="false">
      <c r="A184" s="5" t="s">
        <v>805</v>
      </c>
      <c r="B184" s="5" t="n">
        <v>44</v>
      </c>
      <c r="C184" s="5" t="n">
        <v>2</v>
      </c>
      <c r="D184" s="5" t="s">
        <v>806</v>
      </c>
      <c r="E184" s="5" t="s">
        <v>409</v>
      </c>
      <c r="F184" s="5" t="n">
        <v>1</v>
      </c>
      <c r="G184" s="5" t="n">
        <v>1</v>
      </c>
      <c r="H184" s="5" t="s">
        <v>807</v>
      </c>
      <c r="I184" s="5" t="s">
        <v>411</v>
      </c>
      <c r="J184" s="5" t="s">
        <v>808</v>
      </c>
      <c r="K184" s="11" t="s">
        <v>47</v>
      </c>
    </row>
    <row r="185" customFormat="false" ht="15" hidden="false" customHeight="false" outlineLevel="0" collapsed="false">
      <c r="A185" s="5" t="s">
        <v>809</v>
      </c>
      <c r="B185" s="5" t="n">
        <v>44</v>
      </c>
      <c r="C185" s="5" t="n">
        <v>3</v>
      </c>
      <c r="D185" s="5" t="s">
        <v>810</v>
      </c>
      <c r="E185" s="5" t="s">
        <v>409</v>
      </c>
      <c r="F185" s="5" t="n">
        <v>1</v>
      </c>
      <c r="G185" s="5" t="n">
        <v>1</v>
      </c>
      <c r="H185" s="5" t="s">
        <v>807</v>
      </c>
      <c r="I185" s="5" t="s">
        <v>411</v>
      </c>
      <c r="J185" s="5" t="s">
        <v>808</v>
      </c>
      <c r="K185" s="11" t="s">
        <v>47</v>
      </c>
    </row>
    <row r="186" customFormat="false" ht="15" hidden="false" customHeight="false" outlineLevel="0" collapsed="false">
      <c r="A186" s="5" t="s">
        <v>811</v>
      </c>
      <c r="B186" s="5" t="n">
        <v>44</v>
      </c>
      <c r="C186" s="5" t="n">
        <v>4</v>
      </c>
      <c r="D186" s="5" t="s">
        <v>812</v>
      </c>
      <c r="E186" s="5" t="s">
        <v>409</v>
      </c>
      <c r="F186" s="5" t="n">
        <v>1</v>
      </c>
      <c r="G186" s="5" t="n">
        <v>1</v>
      </c>
      <c r="H186" s="5" t="s">
        <v>807</v>
      </c>
      <c r="I186" s="5" t="s">
        <v>411</v>
      </c>
      <c r="J186" s="5" t="s">
        <v>808</v>
      </c>
      <c r="K186" s="11" t="s">
        <v>47</v>
      </c>
    </row>
    <row r="187" customFormat="false" ht="15" hidden="false" customHeight="false" outlineLevel="0" collapsed="false">
      <c r="A187" s="5" t="s">
        <v>813</v>
      </c>
      <c r="B187" s="5" t="n">
        <v>44</v>
      </c>
      <c r="C187" s="5" t="n">
        <v>5</v>
      </c>
      <c r="D187" s="5" t="s">
        <v>814</v>
      </c>
      <c r="E187" s="5" t="s">
        <v>409</v>
      </c>
      <c r="F187" s="5" t="n">
        <v>1</v>
      </c>
      <c r="G187" s="5" t="n">
        <v>1</v>
      </c>
      <c r="H187" s="5" t="s">
        <v>807</v>
      </c>
      <c r="I187" s="5" t="s">
        <v>411</v>
      </c>
      <c r="J187" s="5" t="s">
        <v>815</v>
      </c>
      <c r="K187" s="11" t="s">
        <v>47</v>
      </c>
    </row>
    <row r="188" customFormat="false" ht="15" hidden="false" customHeight="false" outlineLevel="0" collapsed="false">
      <c r="A188" s="5" t="s">
        <v>816</v>
      </c>
      <c r="B188" s="5" t="n">
        <v>44</v>
      </c>
      <c r="C188" s="5" t="n">
        <v>6</v>
      </c>
      <c r="D188" s="5" t="s">
        <v>817</v>
      </c>
      <c r="E188" s="5" t="s">
        <v>409</v>
      </c>
      <c r="F188" s="5" t="n">
        <v>1</v>
      </c>
      <c r="G188" s="5" t="n">
        <v>1</v>
      </c>
      <c r="H188" s="5" t="s">
        <v>818</v>
      </c>
      <c r="I188" s="5" t="s">
        <v>411</v>
      </c>
      <c r="J188" s="5" t="s">
        <v>808</v>
      </c>
      <c r="K188" s="11" t="s">
        <v>47</v>
      </c>
    </row>
    <row r="189" customFormat="false" ht="15" hidden="false" customHeight="false" outlineLevel="0" collapsed="false">
      <c r="A189" s="5" t="s">
        <v>819</v>
      </c>
      <c r="B189" s="5" t="n">
        <v>44</v>
      </c>
      <c r="C189" s="5" t="n">
        <v>7</v>
      </c>
      <c r="D189" s="5" t="s">
        <v>820</v>
      </c>
      <c r="E189" s="5" t="s">
        <v>409</v>
      </c>
      <c r="F189" s="5" t="n">
        <v>1</v>
      </c>
      <c r="G189" s="5" t="n">
        <v>1</v>
      </c>
      <c r="H189" s="5" t="s">
        <v>807</v>
      </c>
      <c r="I189" s="5" t="s">
        <v>411</v>
      </c>
      <c r="J189" s="5" t="s">
        <v>821</v>
      </c>
      <c r="K189" s="11" t="s">
        <v>47</v>
      </c>
    </row>
    <row r="190" customFormat="false" ht="15" hidden="false" customHeight="false" outlineLevel="0" collapsed="false">
      <c r="A190" s="5" t="s">
        <v>822</v>
      </c>
      <c r="B190" s="5" t="n">
        <v>44</v>
      </c>
      <c r="C190" s="5" t="n">
        <v>8</v>
      </c>
      <c r="D190" s="5" t="s">
        <v>823</v>
      </c>
      <c r="E190" s="5" t="s">
        <v>409</v>
      </c>
      <c r="F190" s="5" t="n">
        <v>4</v>
      </c>
      <c r="G190" s="5" t="n">
        <v>0</v>
      </c>
      <c r="H190" s="5"/>
      <c r="I190" s="5" t="s">
        <v>411</v>
      </c>
      <c r="J190" s="5"/>
      <c r="K190" s="11" t="s">
        <v>47</v>
      </c>
    </row>
    <row r="191" customFormat="false" ht="15" hidden="false" customHeight="false" outlineLevel="0" collapsed="false">
      <c r="A191" s="5" t="s">
        <v>824</v>
      </c>
      <c r="B191" s="5" t="n">
        <v>44</v>
      </c>
      <c r="C191" s="5" t="n">
        <v>9</v>
      </c>
      <c r="D191" s="5" t="s">
        <v>825</v>
      </c>
      <c r="E191" s="5" t="s">
        <v>409</v>
      </c>
      <c r="F191" s="5" t="n">
        <v>3</v>
      </c>
      <c r="G191" s="5" t="n">
        <v>0</v>
      </c>
      <c r="H191" s="5"/>
      <c r="I191" s="5" t="s">
        <v>411</v>
      </c>
      <c r="J191" s="5"/>
      <c r="K191" s="11" t="s">
        <v>47</v>
      </c>
    </row>
    <row r="192" customFormat="false" ht="15" hidden="false" customHeight="false" outlineLevel="0" collapsed="false">
      <c r="A192" s="5" t="s">
        <v>826</v>
      </c>
      <c r="B192" s="5" t="n">
        <v>44</v>
      </c>
      <c r="C192" s="5" t="n">
        <v>10</v>
      </c>
      <c r="D192" s="5" t="s">
        <v>827</v>
      </c>
      <c r="E192" s="5" t="s">
        <v>409</v>
      </c>
      <c r="F192" s="5" t="n">
        <v>1</v>
      </c>
      <c r="G192" s="5" t="n">
        <v>0</v>
      </c>
      <c r="H192" s="5"/>
      <c r="I192" s="5" t="s">
        <v>411</v>
      </c>
      <c r="J192" s="5"/>
      <c r="K192" s="11" t="s">
        <v>47</v>
      </c>
    </row>
    <row r="193" customFormat="false" ht="15" hidden="false" customHeight="false" outlineLevel="0" collapsed="false">
      <c r="A193" s="5" t="s">
        <v>828</v>
      </c>
      <c r="B193" s="5" t="n">
        <v>44</v>
      </c>
      <c r="C193" s="5" t="n">
        <v>11</v>
      </c>
      <c r="D193" s="5" t="s">
        <v>829</v>
      </c>
      <c r="E193" s="5" t="s">
        <v>409</v>
      </c>
      <c r="F193" s="5" t="n">
        <v>1</v>
      </c>
      <c r="G193" s="5" t="n">
        <v>0</v>
      </c>
      <c r="H193" s="5"/>
      <c r="I193" s="5" t="s">
        <v>411</v>
      </c>
      <c r="J193" s="5"/>
      <c r="K193" s="11" t="s">
        <v>47</v>
      </c>
    </row>
    <row r="194" customFormat="false" ht="15" hidden="false" customHeight="false" outlineLevel="0" collapsed="false">
      <c r="A194" s="5" t="s">
        <v>830</v>
      </c>
      <c r="B194" s="5" t="n">
        <v>44</v>
      </c>
      <c r="C194" s="5" t="n">
        <v>12</v>
      </c>
      <c r="D194" s="5" t="s">
        <v>831</v>
      </c>
      <c r="E194" s="5" t="s">
        <v>409</v>
      </c>
      <c r="F194" s="5" t="n">
        <v>1</v>
      </c>
      <c r="G194" s="5" t="n">
        <v>0</v>
      </c>
      <c r="H194" s="5"/>
      <c r="I194" s="5" t="s">
        <v>411</v>
      </c>
      <c r="J194" s="5"/>
      <c r="K194" s="11" t="s">
        <v>47</v>
      </c>
    </row>
    <row r="195" customFormat="false" ht="15" hidden="false" customHeight="false" outlineLevel="0" collapsed="false">
      <c r="A195" s="5" t="s">
        <v>832</v>
      </c>
      <c r="B195" s="5" t="n">
        <v>44</v>
      </c>
      <c r="C195" s="5" t="n">
        <v>13</v>
      </c>
      <c r="D195" s="5" t="s">
        <v>833</v>
      </c>
      <c r="E195" s="5" t="s">
        <v>409</v>
      </c>
      <c r="F195" s="5" t="n">
        <v>1</v>
      </c>
      <c r="G195" s="5" t="n">
        <v>0</v>
      </c>
      <c r="H195" s="5"/>
      <c r="I195" s="5" t="s">
        <v>411</v>
      </c>
      <c r="J195" s="5"/>
      <c r="K195" s="11" t="s">
        <v>47</v>
      </c>
    </row>
    <row r="196" customFormat="false" ht="15" hidden="false" customHeight="false" outlineLevel="0" collapsed="false">
      <c r="A196" s="5" t="s">
        <v>834</v>
      </c>
      <c r="B196" s="5" t="n">
        <v>44</v>
      </c>
      <c r="C196" s="5" t="n">
        <v>14</v>
      </c>
      <c r="D196" s="5" t="s">
        <v>835</v>
      </c>
      <c r="E196" s="5" t="s">
        <v>409</v>
      </c>
      <c r="F196" s="5" t="n">
        <v>1</v>
      </c>
      <c r="G196" s="5" t="n">
        <v>0</v>
      </c>
      <c r="H196" s="5"/>
      <c r="I196" s="5" t="s">
        <v>411</v>
      </c>
      <c r="J196" s="5"/>
      <c r="K196" s="11" t="s">
        <v>47</v>
      </c>
    </row>
    <row r="197" customFormat="false" ht="15" hidden="false" customHeight="false" outlineLevel="0" collapsed="false">
      <c r="A197" s="5" t="s">
        <v>836</v>
      </c>
      <c r="B197" s="5" t="n">
        <v>44</v>
      </c>
      <c r="C197" s="5" t="n">
        <v>15</v>
      </c>
      <c r="D197" s="5" t="s">
        <v>837</v>
      </c>
      <c r="E197" s="5" t="s">
        <v>409</v>
      </c>
      <c r="F197" s="5" t="n">
        <v>1</v>
      </c>
      <c r="G197" s="5" t="n">
        <v>0</v>
      </c>
      <c r="H197" s="5"/>
      <c r="I197" s="5" t="s">
        <v>411</v>
      </c>
      <c r="J197" s="5"/>
      <c r="K197" s="11" t="s">
        <v>47</v>
      </c>
    </row>
    <row r="198" customFormat="false" ht="15" hidden="false" customHeight="false" outlineLevel="0" collapsed="false">
      <c r="A198" s="5" t="s">
        <v>838</v>
      </c>
      <c r="B198" s="5" t="n">
        <v>44</v>
      </c>
      <c r="C198" s="5" t="n">
        <v>16</v>
      </c>
      <c r="D198" s="5" t="s">
        <v>839</v>
      </c>
      <c r="E198" s="5" t="s">
        <v>409</v>
      </c>
      <c r="F198" s="5" t="n">
        <v>1</v>
      </c>
      <c r="G198" s="5" t="n">
        <v>0</v>
      </c>
      <c r="H198" s="5"/>
      <c r="I198" s="5" t="s">
        <v>411</v>
      </c>
      <c r="J198" s="5"/>
      <c r="K198" s="11" t="s">
        <v>47</v>
      </c>
    </row>
    <row r="199" customFormat="false" ht="15" hidden="false" customHeight="false" outlineLevel="0" collapsed="false">
      <c r="A199" s="5" t="s">
        <v>840</v>
      </c>
      <c r="B199" s="5" t="n">
        <v>45</v>
      </c>
      <c r="C199" s="5" t="n">
        <v>1</v>
      </c>
      <c r="D199" s="5" t="s">
        <v>248</v>
      </c>
      <c r="E199" s="5" t="s">
        <v>409</v>
      </c>
      <c r="F199" s="5" t="n">
        <v>4</v>
      </c>
      <c r="G199" s="5" t="n">
        <v>0</v>
      </c>
      <c r="H199" s="5"/>
      <c r="I199" s="5" t="s">
        <v>411</v>
      </c>
      <c r="J199" s="5"/>
      <c r="K199" s="11" t="s">
        <v>47</v>
      </c>
    </row>
    <row r="200" customFormat="false" ht="15" hidden="false" customHeight="false" outlineLevel="0" collapsed="false">
      <c r="A200" s="5" t="s">
        <v>841</v>
      </c>
      <c r="B200" s="5" t="n">
        <v>45</v>
      </c>
      <c r="C200" s="5" t="n">
        <v>2</v>
      </c>
      <c r="D200" s="5" t="s">
        <v>825</v>
      </c>
      <c r="E200" s="5" t="s">
        <v>409</v>
      </c>
      <c r="F200" s="5" t="n">
        <v>3</v>
      </c>
      <c r="G200" s="5" t="n">
        <v>0</v>
      </c>
      <c r="H200" s="5"/>
      <c r="I200" s="5" t="s">
        <v>411</v>
      </c>
      <c r="J200" s="5"/>
      <c r="K200" s="11" t="s">
        <v>47</v>
      </c>
    </row>
    <row r="201" customFormat="false" ht="15" hidden="false" customHeight="false" outlineLevel="0" collapsed="false">
      <c r="A201" s="5" t="s">
        <v>842</v>
      </c>
      <c r="B201" s="5" t="n">
        <v>48</v>
      </c>
      <c r="C201" s="5" t="n">
        <v>1</v>
      </c>
      <c r="D201" s="5" t="s">
        <v>265</v>
      </c>
      <c r="E201" s="5" t="s">
        <v>409</v>
      </c>
      <c r="F201" s="5" t="n">
        <v>30</v>
      </c>
      <c r="G201" s="5" t="n">
        <v>2</v>
      </c>
      <c r="H201" s="5" t="s">
        <v>843</v>
      </c>
      <c r="I201" s="5" t="s">
        <v>432</v>
      </c>
      <c r="J201" s="5" t="s">
        <v>844</v>
      </c>
      <c r="K201" s="11" t="s">
        <v>47</v>
      </c>
    </row>
    <row r="202" customFormat="false" ht="15" hidden="false" customHeight="false" outlineLevel="0" collapsed="false">
      <c r="A202" s="5" t="s">
        <v>845</v>
      </c>
      <c r="B202" s="5" t="n">
        <v>49</v>
      </c>
      <c r="C202" s="5" t="n">
        <v>1</v>
      </c>
      <c r="D202" s="5" t="s">
        <v>270</v>
      </c>
      <c r="E202" s="5" t="s">
        <v>409</v>
      </c>
      <c r="F202" s="5" t="n">
        <v>198</v>
      </c>
      <c r="G202" s="5" t="n">
        <v>1</v>
      </c>
      <c r="H202" s="5" t="s">
        <v>846</v>
      </c>
      <c r="I202" s="5" t="s">
        <v>432</v>
      </c>
      <c r="J202" s="5" t="s">
        <v>847</v>
      </c>
      <c r="K202" s="11" t="s">
        <v>47</v>
      </c>
    </row>
    <row r="203" customFormat="false" ht="15" hidden="false" customHeight="false" outlineLevel="0" collapsed="false">
      <c r="A203" s="5" t="s">
        <v>848</v>
      </c>
      <c r="B203" s="5" t="n">
        <v>49</v>
      </c>
      <c r="C203" s="5" t="n">
        <v>2</v>
      </c>
      <c r="D203" s="5" t="s">
        <v>288</v>
      </c>
      <c r="E203" s="5" t="s">
        <v>409</v>
      </c>
      <c r="F203" s="5" t="n">
        <v>186</v>
      </c>
      <c r="G203" s="5" t="n">
        <v>1</v>
      </c>
      <c r="H203" s="5" t="s">
        <v>849</v>
      </c>
      <c r="I203" s="5" t="s">
        <v>411</v>
      </c>
      <c r="J203" s="5" t="s">
        <v>850</v>
      </c>
      <c r="K203" s="11" t="s">
        <v>47</v>
      </c>
    </row>
    <row r="204" customFormat="false" ht="15" hidden="false" customHeight="false" outlineLevel="0" collapsed="false">
      <c r="A204" s="5" t="s">
        <v>851</v>
      </c>
      <c r="B204" s="5" t="n">
        <v>49</v>
      </c>
      <c r="C204" s="5" t="n">
        <v>3</v>
      </c>
      <c r="D204" s="5" t="s">
        <v>852</v>
      </c>
      <c r="E204" s="5" t="s">
        <v>409</v>
      </c>
      <c r="F204" s="5" t="n">
        <v>49</v>
      </c>
      <c r="G204" s="5" t="n">
        <v>1</v>
      </c>
      <c r="H204" s="5" t="s">
        <v>853</v>
      </c>
      <c r="I204" s="5" t="s">
        <v>411</v>
      </c>
      <c r="J204" s="5" t="s">
        <v>854</v>
      </c>
      <c r="K204" s="11" t="s">
        <v>47</v>
      </c>
    </row>
    <row r="205" customFormat="false" ht="15" hidden="false" customHeight="false" outlineLevel="0" collapsed="false">
      <c r="A205" s="5" t="s">
        <v>855</v>
      </c>
      <c r="B205" s="5" t="n">
        <v>49</v>
      </c>
      <c r="C205" s="5" t="n">
        <v>4</v>
      </c>
      <c r="D205" s="5" t="s">
        <v>856</v>
      </c>
      <c r="E205" s="5" t="s">
        <v>409</v>
      </c>
      <c r="F205" s="5" t="n">
        <v>10</v>
      </c>
      <c r="G205" s="5" t="n">
        <v>1</v>
      </c>
      <c r="H205" s="5" t="s">
        <v>857</v>
      </c>
      <c r="I205" s="5" t="s">
        <v>432</v>
      </c>
      <c r="J205" s="5" t="s">
        <v>858</v>
      </c>
      <c r="K205" s="11" t="s">
        <v>47</v>
      </c>
    </row>
    <row r="206" customFormat="false" ht="15" hidden="false" customHeight="false" outlineLevel="0" collapsed="false">
      <c r="A206" s="5" t="s">
        <v>859</v>
      </c>
      <c r="B206" s="5" t="n">
        <v>50</v>
      </c>
      <c r="C206" s="5" t="n">
        <v>1</v>
      </c>
      <c r="D206" s="5" t="s">
        <v>265</v>
      </c>
      <c r="E206" s="5" t="s">
        <v>409</v>
      </c>
      <c r="F206" s="5" t="n">
        <v>32</v>
      </c>
      <c r="G206" s="5" t="n">
        <v>2</v>
      </c>
      <c r="H206" s="5" t="s">
        <v>843</v>
      </c>
      <c r="I206" s="5" t="s">
        <v>432</v>
      </c>
      <c r="J206" s="5" t="s">
        <v>844</v>
      </c>
      <c r="K206" s="11" t="s">
        <v>47</v>
      </c>
    </row>
    <row r="207" customFormat="false" ht="15" hidden="false" customHeight="false" outlineLevel="0" collapsed="false">
      <c r="A207" s="5" t="s">
        <v>860</v>
      </c>
      <c r="B207" s="5" t="n">
        <v>51</v>
      </c>
      <c r="C207" s="5" t="n">
        <v>1</v>
      </c>
      <c r="D207" s="5" t="s">
        <v>277</v>
      </c>
      <c r="E207" s="5" t="s">
        <v>409</v>
      </c>
      <c r="F207" s="5" t="n">
        <v>87</v>
      </c>
      <c r="G207" s="5" t="n">
        <v>0</v>
      </c>
      <c r="H207" s="5"/>
      <c r="I207" s="5" t="s">
        <v>432</v>
      </c>
      <c r="J207" s="5"/>
      <c r="K207" s="11" t="s">
        <v>47</v>
      </c>
    </row>
    <row r="208" customFormat="false" ht="15" hidden="false" customHeight="false" outlineLevel="0" collapsed="false">
      <c r="A208" s="5" t="s">
        <v>861</v>
      </c>
      <c r="B208" s="5" t="n">
        <v>51</v>
      </c>
      <c r="C208" s="5" t="n">
        <v>2</v>
      </c>
      <c r="D208" s="5" t="s">
        <v>862</v>
      </c>
      <c r="E208" s="5" t="s">
        <v>409</v>
      </c>
      <c r="F208" s="5" t="n">
        <v>10</v>
      </c>
      <c r="G208" s="5" t="n">
        <v>0</v>
      </c>
      <c r="H208" s="5"/>
      <c r="I208" s="5" t="s">
        <v>432</v>
      </c>
      <c r="J208" s="5"/>
      <c r="K208" s="11" t="s">
        <v>47</v>
      </c>
    </row>
    <row r="209" customFormat="false" ht="15" hidden="false" customHeight="false" outlineLevel="0" collapsed="false">
      <c r="A209" s="5" t="s">
        <v>863</v>
      </c>
      <c r="B209" s="5" t="n">
        <v>52</v>
      </c>
      <c r="C209" s="5" t="n">
        <v>1</v>
      </c>
      <c r="D209" s="5" t="s">
        <v>265</v>
      </c>
      <c r="E209" s="5" t="s">
        <v>409</v>
      </c>
      <c r="F209" s="5" t="n">
        <v>35</v>
      </c>
      <c r="G209" s="5" t="n">
        <v>4</v>
      </c>
      <c r="H209" s="5" t="s">
        <v>864</v>
      </c>
      <c r="I209" s="5" t="s">
        <v>432</v>
      </c>
      <c r="J209" s="5" t="s">
        <v>844</v>
      </c>
      <c r="K209" s="11" t="s">
        <v>47</v>
      </c>
    </row>
    <row r="210" customFormat="false" ht="15" hidden="false" customHeight="false" outlineLevel="0" collapsed="false">
      <c r="A210" s="5" t="s">
        <v>865</v>
      </c>
      <c r="B210" s="5" t="n">
        <v>53</v>
      </c>
      <c r="C210" s="5" t="n">
        <v>1</v>
      </c>
      <c r="D210" s="5" t="s">
        <v>265</v>
      </c>
      <c r="E210" s="5" t="s">
        <v>409</v>
      </c>
      <c r="F210" s="5" t="n">
        <v>34</v>
      </c>
      <c r="G210" s="5" t="n">
        <v>23</v>
      </c>
      <c r="H210" s="5" t="s">
        <v>866</v>
      </c>
      <c r="I210" s="5" t="s">
        <v>432</v>
      </c>
      <c r="J210" s="5" t="s">
        <v>867</v>
      </c>
      <c r="K210" s="11" t="s">
        <v>47</v>
      </c>
    </row>
    <row r="211" customFormat="false" ht="15" hidden="false" customHeight="false" outlineLevel="0" collapsed="false">
      <c r="A211" s="5" t="s">
        <v>868</v>
      </c>
      <c r="B211" s="5" t="n">
        <v>53</v>
      </c>
      <c r="C211" s="5" t="n">
        <v>2</v>
      </c>
      <c r="D211" s="5" t="s">
        <v>869</v>
      </c>
      <c r="E211" s="5" t="s">
        <v>409</v>
      </c>
      <c r="F211" s="5" t="n">
        <v>51</v>
      </c>
      <c r="G211" s="5" t="n">
        <v>16</v>
      </c>
      <c r="H211" s="5" t="s">
        <v>870</v>
      </c>
      <c r="I211" s="5" t="s">
        <v>432</v>
      </c>
      <c r="J211" s="5" t="s">
        <v>871</v>
      </c>
      <c r="K211" s="11" t="s">
        <v>47</v>
      </c>
    </row>
    <row r="212" customFormat="false" ht="15" hidden="false" customHeight="false" outlineLevel="0" collapsed="false">
      <c r="A212" s="5" t="s">
        <v>872</v>
      </c>
      <c r="B212" s="5" t="n">
        <v>53</v>
      </c>
      <c r="C212" s="5" t="n">
        <v>3</v>
      </c>
      <c r="D212" s="5" t="s">
        <v>873</v>
      </c>
      <c r="E212" s="5" t="s">
        <v>409</v>
      </c>
      <c r="F212" s="5" t="n">
        <v>44</v>
      </c>
      <c r="G212" s="5" t="n">
        <v>16</v>
      </c>
      <c r="H212" s="5" t="s">
        <v>874</v>
      </c>
      <c r="I212" s="5" t="s">
        <v>432</v>
      </c>
      <c r="J212" s="5" t="s">
        <v>871</v>
      </c>
      <c r="K212" s="11" t="s">
        <v>47</v>
      </c>
    </row>
    <row r="213" customFormat="false" ht="15" hidden="false" customHeight="false" outlineLevel="0" collapsed="false">
      <c r="A213" s="5" t="s">
        <v>875</v>
      </c>
      <c r="B213" s="5" t="n">
        <v>53</v>
      </c>
      <c r="C213" s="5" t="n">
        <v>4</v>
      </c>
      <c r="D213" s="5" t="s">
        <v>876</v>
      </c>
      <c r="E213" s="5" t="s">
        <v>409</v>
      </c>
      <c r="F213" s="5" t="n">
        <v>3</v>
      </c>
      <c r="G213" s="5" t="n">
        <v>3</v>
      </c>
      <c r="H213" s="5" t="s">
        <v>877</v>
      </c>
      <c r="I213" s="5" t="s">
        <v>432</v>
      </c>
      <c r="J213" s="5" t="s">
        <v>878</v>
      </c>
      <c r="K213" s="11" t="s">
        <v>47</v>
      </c>
    </row>
    <row r="214" customFormat="false" ht="15" hidden="false" customHeight="false" outlineLevel="0" collapsed="false">
      <c r="A214" s="5" t="s">
        <v>879</v>
      </c>
      <c r="B214" s="5" t="n">
        <v>53</v>
      </c>
      <c r="C214" s="5" t="n">
        <v>5</v>
      </c>
      <c r="D214" s="5" t="s">
        <v>880</v>
      </c>
      <c r="E214" s="5" t="s">
        <v>409</v>
      </c>
      <c r="F214" s="5" t="n">
        <v>12</v>
      </c>
      <c r="G214" s="5" t="n">
        <v>2</v>
      </c>
      <c r="H214" s="5" t="s">
        <v>881</v>
      </c>
      <c r="I214" s="5" t="s">
        <v>432</v>
      </c>
      <c r="J214" s="5" t="s">
        <v>867</v>
      </c>
      <c r="K214" s="11" t="s">
        <v>47</v>
      </c>
    </row>
    <row r="215" customFormat="false" ht="15" hidden="false" customHeight="false" outlineLevel="0" collapsed="false">
      <c r="A215" s="5" t="s">
        <v>882</v>
      </c>
      <c r="B215" s="5" t="n">
        <v>53</v>
      </c>
      <c r="C215" s="5" t="n">
        <v>6</v>
      </c>
      <c r="D215" s="5" t="s">
        <v>883</v>
      </c>
      <c r="E215" s="5" t="s">
        <v>409</v>
      </c>
      <c r="F215" s="5" t="n">
        <v>2</v>
      </c>
      <c r="G215" s="5" t="n">
        <v>2</v>
      </c>
      <c r="H215" s="5" t="s">
        <v>884</v>
      </c>
      <c r="I215" s="5" t="s">
        <v>432</v>
      </c>
      <c r="J215" s="5" t="s">
        <v>885</v>
      </c>
      <c r="K215" s="11" t="s">
        <v>47</v>
      </c>
    </row>
    <row r="216" customFormat="false" ht="15" hidden="false" customHeight="false" outlineLevel="0" collapsed="false">
      <c r="A216" s="5" t="s">
        <v>886</v>
      </c>
      <c r="B216" s="5" t="n">
        <v>53</v>
      </c>
      <c r="C216" s="5" t="n">
        <v>7</v>
      </c>
      <c r="D216" s="5" t="s">
        <v>887</v>
      </c>
      <c r="E216" s="5" t="s">
        <v>409</v>
      </c>
      <c r="F216" s="5" t="n">
        <v>8</v>
      </c>
      <c r="G216" s="5" t="n">
        <v>0</v>
      </c>
      <c r="H216" s="5"/>
      <c r="I216" s="5" t="s">
        <v>432</v>
      </c>
      <c r="J216" s="5"/>
      <c r="K216" s="11" t="s">
        <v>47</v>
      </c>
    </row>
    <row r="217" customFormat="false" ht="15" hidden="false" customHeight="false" outlineLevel="0" collapsed="false">
      <c r="A217" s="5" t="s">
        <v>888</v>
      </c>
      <c r="B217" s="5" t="n">
        <v>53</v>
      </c>
      <c r="C217" s="5" t="n">
        <v>8</v>
      </c>
      <c r="D217" s="5" t="s">
        <v>889</v>
      </c>
      <c r="E217" s="5" t="s">
        <v>409</v>
      </c>
      <c r="F217" s="5" t="n">
        <v>0</v>
      </c>
      <c r="G217" s="5" t="n">
        <v>0</v>
      </c>
      <c r="H217" s="5"/>
      <c r="I217" s="5" t="s">
        <v>432</v>
      </c>
      <c r="J217" s="5"/>
      <c r="K217" s="11" t="s">
        <v>47</v>
      </c>
    </row>
    <row r="218" customFormat="false" ht="15" hidden="false" customHeight="false" outlineLevel="0" collapsed="false">
      <c r="A218" s="5" t="s">
        <v>890</v>
      </c>
      <c r="B218" s="5" t="n">
        <v>54</v>
      </c>
      <c r="C218" s="5" t="n">
        <v>1</v>
      </c>
      <c r="D218" s="5" t="s">
        <v>288</v>
      </c>
      <c r="E218" s="5" t="s">
        <v>409</v>
      </c>
      <c r="F218" s="5" t="n">
        <v>179</v>
      </c>
      <c r="G218" s="5" t="n">
        <v>0</v>
      </c>
      <c r="H218" s="5"/>
      <c r="I218" s="5" t="s">
        <v>432</v>
      </c>
      <c r="J218" s="5"/>
      <c r="K218" s="11" t="s">
        <v>47</v>
      </c>
    </row>
    <row r="219" customFormat="false" ht="15" hidden="false" customHeight="false" outlineLevel="0" collapsed="false">
      <c r="A219" s="5" t="s">
        <v>891</v>
      </c>
      <c r="B219" s="5" t="n">
        <v>54</v>
      </c>
      <c r="C219" s="5" t="n">
        <v>2</v>
      </c>
      <c r="D219" s="5" t="s">
        <v>892</v>
      </c>
      <c r="E219" s="5" t="s">
        <v>409</v>
      </c>
      <c r="F219" s="5" t="n">
        <v>14</v>
      </c>
      <c r="G219" s="5" t="n">
        <v>0</v>
      </c>
      <c r="H219" s="5"/>
      <c r="I219" s="5" t="s">
        <v>432</v>
      </c>
      <c r="J219" s="5"/>
      <c r="K219" s="11" t="s">
        <v>47</v>
      </c>
    </row>
    <row r="220" customFormat="false" ht="15" hidden="false" customHeight="false" outlineLevel="0" collapsed="false">
      <c r="A220" s="5" t="s">
        <v>893</v>
      </c>
      <c r="B220" s="5" t="n">
        <v>55</v>
      </c>
      <c r="C220" s="5" t="n">
        <v>1</v>
      </c>
      <c r="D220" s="5" t="s">
        <v>294</v>
      </c>
      <c r="E220" s="5" t="s">
        <v>409</v>
      </c>
      <c r="F220" s="5" t="n">
        <v>4</v>
      </c>
      <c r="G220" s="5" t="n">
        <v>0</v>
      </c>
      <c r="H220" s="5"/>
      <c r="I220" s="5" t="s">
        <v>411</v>
      </c>
      <c r="J220" s="5"/>
      <c r="K220" s="11" t="s">
        <v>47</v>
      </c>
    </row>
    <row r="221" customFormat="false" ht="15" hidden="false" customHeight="false" outlineLevel="0" collapsed="false">
      <c r="A221" s="5" t="s">
        <v>894</v>
      </c>
      <c r="B221" s="5" t="n">
        <v>55</v>
      </c>
      <c r="C221" s="5" t="n">
        <v>2</v>
      </c>
      <c r="D221" s="5" t="s">
        <v>895</v>
      </c>
      <c r="E221" s="5" t="s">
        <v>409</v>
      </c>
      <c r="F221" s="5" t="n">
        <v>1</v>
      </c>
      <c r="G221" s="5" t="n">
        <v>0</v>
      </c>
      <c r="H221" s="5"/>
      <c r="I221" s="5" t="s">
        <v>432</v>
      </c>
      <c r="J221" s="5"/>
      <c r="K221" s="11" t="s">
        <v>47</v>
      </c>
    </row>
    <row r="222" customFormat="false" ht="15" hidden="false" customHeight="false" outlineLevel="0" collapsed="false">
      <c r="A222" s="5" t="s">
        <v>896</v>
      </c>
      <c r="B222" s="5" t="n">
        <v>56</v>
      </c>
      <c r="C222" s="5" t="n">
        <v>1</v>
      </c>
      <c r="D222" s="5" t="s">
        <v>294</v>
      </c>
      <c r="E222" s="5" t="s">
        <v>409</v>
      </c>
      <c r="F222" s="5" t="n">
        <v>4</v>
      </c>
      <c r="G222" s="5" t="n">
        <v>0</v>
      </c>
      <c r="H222" s="5"/>
      <c r="I222" s="5" t="s">
        <v>411</v>
      </c>
      <c r="J222" s="5"/>
      <c r="K222" s="11" t="s">
        <v>47</v>
      </c>
    </row>
    <row r="223" customFormat="false" ht="15" hidden="false" customHeight="false" outlineLevel="0" collapsed="false">
      <c r="A223" s="5" t="s">
        <v>897</v>
      </c>
      <c r="B223" s="5" t="n">
        <v>56</v>
      </c>
      <c r="C223" s="5" t="n">
        <v>2</v>
      </c>
      <c r="D223" s="5" t="s">
        <v>895</v>
      </c>
      <c r="E223" s="5" t="s">
        <v>409</v>
      </c>
      <c r="F223" s="5" t="n">
        <v>1</v>
      </c>
      <c r="G223" s="5" t="n">
        <v>0</v>
      </c>
      <c r="H223" s="5"/>
      <c r="I223" s="5" t="s">
        <v>432</v>
      </c>
      <c r="J223" s="5"/>
      <c r="K223" s="11" t="s">
        <v>47</v>
      </c>
    </row>
    <row r="224" customFormat="false" ht="15" hidden="false" customHeight="false" outlineLevel="0" collapsed="false">
      <c r="A224" s="5" t="s">
        <v>898</v>
      </c>
      <c r="B224" s="5" t="n">
        <v>57</v>
      </c>
      <c r="C224" s="5" t="n">
        <v>1</v>
      </c>
      <c r="D224" s="5" t="s">
        <v>294</v>
      </c>
      <c r="E224" s="5" t="s">
        <v>409</v>
      </c>
      <c r="F224" s="5" t="n">
        <v>4</v>
      </c>
      <c r="G224" s="5" t="n">
        <v>0</v>
      </c>
      <c r="H224" s="5"/>
      <c r="I224" s="5" t="s">
        <v>411</v>
      </c>
      <c r="J224" s="5"/>
      <c r="K224" s="11" t="s">
        <v>47</v>
      </c>
    </row>
    <row r="225" customFormat="false" ht="15" hidden="false" customHeight="false" outlineLevel="0" collapsed="false">
      <c r="A225" s="5" t="s">
        <v>899</v>
      </c>
      <c r="B225" s="5" t="n">
        <v>57</v>
      </c>
      <c r="C225" s="5" t="n">
        <v>2</v>
      </c>
      <c r="D225" s="5" t="s">
        <v>895</v>
      </c>
      <c r="E225" s="5" t="s">
        <v>409</v>
      </c>
      <c r="F225" s="5" t="n">
        <v>1</v>
      </c>
      <c r="G225" s="5" t="n">
        <v>0</v>
      </c>
      <c r="H225" s="5"/>
      <c r="I225" s="5" t="s">
        <v>432</v>
      </c>
      <c r="J225" s="5"/>
      <c r="K225" s="11" t="s">
        <v>47</v>
      </c>
    </row>
    <row r="226" customFormat="false" ht="15" hidden="false" customHeight="false" outlineLevel="0" collapsed="false">
      <c r="A226" s="5" t="s">
        <v>900</v>
      </c>
      <c r="B226" s="5" t="n">
        <v>58</v>
      </c>
      <c r="C226" s="5" t="n">
        <v>1</v>
      </c>
      <c r="D226" s="5" t="s">
        <v>294</v>
      </c>
      <c r="E226" s="5" t="s">
        <v>409</v>
      </c>
      <c r="F226" s="5" t="n">
        <v>4</v>
      </c>
      <c r="G226" s="5" t="n">
        <v>0</v>
      </c>
      <c r="H226" s="5"/>
      <c r="I226" s="5" t="s">
        <v>411</v>
      </c>
      <c r="J226" s="5"/>
      <c r="K226" s="11" t="s">
        <v>47</v>
      </c>
    </row>
    <row r="227" customFormat="false" ht="15" hidden="false" customHeight="false" outlineLevel="0" collapsed="false">
      <c r="A227" s="5" t="s">
        <v>901</v>
      </c>
      <c r="B227" s="5" t="n">
        <v>58</v>
      </c>
      <c r="C227" s="5" t="n">
        <v>2</v>
      </c>
      <c r="D227" s="5" t="s">
        <v>895</v>
      </c>
      <c r="E227" s="5" t="s">
        <v>409</v>
      </c>
      <c r="F227" s="5" t="n">
        <v>1</v>
      </c>
      <c r="G227" s="5" t="n">
        <v>0</v>
      </c>
      <c r="H227" s="5"/>
      <c r="I227" s="5" t="s">
        <v>432</v>
      </c>
      <c r="J227" s="5"/>
      <c r="K227" s="11" t="s">
        <v>47</v>
      </c>
    </row>
    <row r="228" customFormat="false" ht="15" hidden="false" customHeight="false" outlineLevel="0" collapsed="false">
      <c r="A228" s="5" t="s">
        <v>902</v>
      </c>
      <c r="B228" s="5" t="n">
        <v>59</v>
      </c>
      <c r="C228" s="5" t="n">
        <v>1</v>
      </c>
      <c r="D228" s="5" t="s">
        <v>294</v>
      </c>
      <c r="E228" s="5" t="s">
        <v>409</v>
      </c>
      <c r="F228" s="5" t="n">
        <v>4</v>
      </c>
      <c r="G228" s="5" t="n">
        <v>0</v>
      </c>
      <c r="H228" s="5"/>
      <c r="I228" s="5" t="s">
        <v>411</v>
      </c>
      <c r="J228" s="5"/>
      <c r="K228" s="11" t="s">
        <v>47</v>
      </c>
    </row>
    <row r="229" customFormat="false" ht="15" hidden="false" customHeight="false" outlineLevel="0" collapsed="false">
      <c r="A229" s="5" t="s">
        <v>903</v>
      </c>
      <c r="B229" s="5" t="n">
        <v>59</v>
      </c>
      <c r="C229" s="5" t="n">
        <v>2</v>
      </c>
      <c r="D229" s="5" t="s">
        <v>895</v>
      </c>
      <c r="E229" s="5" t="s">
        <v>409</v>
      </c>
      <c r="F229" s="5" t="n">
        <v>1</v>
      </c>
      <c r="G229" s="5" t="n">
        <v>0</v>
      </c>
      <c r="H229" s="5"/>
      <c r="I229" s="5" t="s">
        <v>432</v>
      </c>
      <c r="J229" s="5"/>
      <c r="K229" s="11" t="s">
        <v>47</v>
      </c>
    </row>
    <row r="230" customFormat="false" ht="15" hidden="false" customHeight="false" outlineLevel="0" collapsed="false">
      <c r="A230" s="5" t="s">
        <v>904</v>
      </c>
      <c r="B230" s="5" t="n">
        <v>60</v>
      </c>
      <c r="C230" s="5" t="n">
        <v>1</v>
      </c>
      <c r="D230" s="5" t="s">
        <v>294</v>
      </c>
      <c r="E230" s="5" t="s">
        <v>409</v>
      </c>
      <c r="F230" s="5" t="n">
        <v>4</v>
      </c>
      <c r="G230" s="5" t="n">
        <v>0</v>
      </c>
      <c r="H230" s="5"/>
      <c r="I230" s="5" t="s">
        <v>411</v>
      </c>
      <c r="J230" s="5"/>
      <c r="K230" s="11" t="s">
        <v>47</v>
      </c>
    </row>
    <row r="231" customFormat="false" ht="15" hidden="false" customHeight="false" outlineLevel="0" collapsed="false">
      <c r="A231" s="5" t="s">
        <v>905</v>
      </c>
      <c r="B231" s="5" t="n">
        <v>60</v>
      </c>
      <c r="C231" s="5" t="n">
        <v>2</v>
      </c>
      <c r="D231" s="5" t="s">
        <v>895</v>
      </c>
      <c r="E231" s="5" t="s">
        <v>409</v>
      </c>
      <c r="F231" s="5" t="n">
        <v>1</v>
      </c>
      <c r="G231" s="5" t="n">
        <v>0</v>
      </c>
      <c r="H231" s="5"/>
      <c r="I231" s="5" t="s">
        <v>432</v>
      </c>
      <c r="J231" s="5"/>
      <c r="K231" s="11" t="s">
        <v>47</v>
      </c>
    </row>
    <row r="232" customFormat="false" ht="15" hidden="false" customHeight="false" outlineLevel="0" collapsed="false">
      <c r="A232" s="5" t="s">
        <v>906</v>
      </c>
      <c r="B232" s="5" t="n">
        <v>61</v>
      </c>
      <c r="C232" s="5" t="n">
        <v>1</v>
      </c>
      <c r="D232" s="5" t="s">
        <v>294</v>
      </c>
      <c r="E232" s="5" t="s">
        <v>409</v>
      </c>
      <c r="F232" s="5" t="n">
        <v>4</v>
      </c>
      <c r="G232" s="5" t="n">
        <v>0</v>
      </c>
      <c r="H232" s="5"/>
      <c r="I232" s="5" t="s">
        <v>411</v>
      </c>
      <c r="J232" s="5"/>
      <c r="K232" s="11" t="s">
        <v>47</v>
      </c>
    </row>
    <row r="233" customFormat="false" ht="15" hidden="false" customHeight="false" outlineLevel="0" collapsed="false">
      <c r="A233" s="5" t="s">
        <v>907</v>
      </c>
      <c r="B233" s="5" t="n">
        <v>61</v>
      </c>
      <c r="C233" s="5" t="n">
        <v>2</v>
      </c>
      <c r="D233" s="5" t="s">
        <v>895</v>
      </c>
      <c r="E233" s="5" t="s">
        <v>409</v>
      </c>
      <c r="F233" s="5" t="n">
        <v>1</v>
      </c>
      <c r="G233" s="5" t="n">
        <v>0</v>
      </c>
      <c r="H233" s="5"/>
      <c r="I233" s="5" t="s">
        <v>432</v>
      </c>
      <c r="J233" s="5"/>
      <c r="K233" s="11" t="s">
        <v>47</v>
      </c>
    </row>
    <row r="234" customFormat="false" ht="15" hidden="false" customHeight="false" outlineLevel="0" collapsed="false">
      <c r="A234" s="5" t="s">
        <v>908</v>
      </c>
      <c r="B234" s="5" t="n">
        <v>62</v>
      </c>
      <c r="C234" s="5" t="n">
        <v>1</v>
      </c>
      <c r="D234" s="5" t="s">
        <v>294</v>
      </c>
      <c r="E234" s="5" t="s">
        <v>409</v>
      </c>
      <c r="F234" s="5" t="n">
        <v>4</v>
      </c>
      <c r="G234" s="5" t="n">
        <v>0</v>
      </c>
      <c r="H234" s="5"/>
      <c r="I234" s="5" t="s">
        <v>411</v>
      </c>
      <c r="J234" s="5"/>
      <c r="K234" s="11" t="s">
        <v>47</v>
      </c>
    </row>
    <row r="235" customFormat="false" ht="15" hidden="false" customHeight="false" outlineLevel="0" collapsed="false">
      <c r="A235" s="5" t="s">
        <v>909</v>
      </c>
      <c r="B235" s="5" t="n">
        <v>62</v>
      </c>
      <c r="C235" s="5" t="n">
        <v>2</v>
      </c>
      <c r="D235" s="5" t="s">
        <v>895</v>
      </c>
      <c r="E235" s="5" t="s">
        <v>409</v>
      </c>
      <c r="F235" s="5" t="n">
        <v>1</v>
      </c>
      <c r="G235" s="5" t="n">
        <v>0</v>
      </c>
      <c r="H235" s="5"/>
      <c r="I235" s="5" t="s">
        <v>432</v>
      </c>
      <c r="J235" s="5"/>
      <c r="K235" s="11" t="s">
        <v>47</v>
      </c>
    </row>
    <row r="236" customFormat="false" ht="15" hidden="false" customHeight="false" outlineLevel="0" collapsed="false">
      <c r="A236" s="5" t="s">
        <v>910</v>
      </c>
      <c r="B236" s="5" t="n">
        <v>63</v>
      </c>
      <c r="C236" s="5" t="n">
        <v>1</v>
      </c>
      <c r="D236" s="5" t="s">
        <v>294</v>
      </c>
      <c r="E236" s="5" t="s">
        <v>409</v>
      </c>
      <c r="F236" s="5" t="n">
        <v>4</v>
      </c>
      <c r="G236" s="5" t="n">
        <v>0</v>
      </c>
      <c r="H236" s="5"/>
      <c r="I236" s="5" t="s">
        <v>411</v>
      </c>
      <c r="J236" s="5"/>
      <c r="K236" s="11" t="s">
        <v>47</v>
      </c>
    </row>
    <row r="237" customFormat="false" ht="15" hidden="false" customHeight="false" outlineLevel="0" collapsed="false">
      <c r="A237" s="5" t="s">
        <v>911</v>
      </c>
      <c r="B237" s="5" t="n">
        <v>63</v>
      </c>
      <c r="C237" s="5" t="n">
        <v>2</v>
      </c>
      <c r="D237" s="5" t="s">
        <v>895</v>
      </c>
      <c r="E237" s="5" t="s">
        <v>409</v>
      </c>
      <c r="F237" s="5" t="n">
        <v>1</v>
      </c>
      <c r="G237" s="5" t="n">
        <v>0</v>
      </c>
      <c r="H237" s="5"/>
      <c r="I237" s="5" t="s">
        <v>432</v>
      </c>
      <c r="J237" s="5"/>
      <c r="K237" s="11" t="s">
        <v>47</v>
      </c>
    </row>
    <row r="238" customFormat="false" ht="15" hidden="false" customHeight="false" outlineLevel="0" collapsed="false">
      <c r="A238" s="5" t="s">
        <v>912</v>
      </c>
      <c r="B238" s="5" t="n">
        <v>74</v>
      </c>
      <c r="C238" s="5" t="n">
        <v>1</v>
      </c>
      <c r="D238" s="5" t="s">
        <v>357</v>
      </c>
      <c r="E238" s="5" t="s">
        <v>409</v>
      </c>
      <c r="F238" s="5" t="n">
        <v>1</v>
      </c>
      <c r="G238" s="5" t="n">
        <v>1</v>
      </c>
      <c r="H238" s="5" t="s">
        <v>913</v>
      </c>
      <c r="I238" s="5" t="s">
        <v>432</v>
      </c>
      <c r="J238" s="5" t="s">
        <v>914</v>
      </c>
      <c r="K238" s="11" t="s">
        <v>47</v>
      </c>
    </row>
  </sheetData>
  <autoFilter ref="A1:K238"/>
  <hyperlinks>
    <hyperlink ref="K2" r:id="rId1" display="mở"/>
    <hyperlink ref="K3" r:id="rId2" display="mở"/>
    <hyperlink ref="K4" r:id="rId3" display="mở"/>
    <hyperlink ref="K5" r:id="rId4" display="mở"/>
    <hyperlink ref="K6" r:id="rId5" display="mở"/>
    <hyperlink ref="K7" r:id="rId6" display="mở"/>
    <hyperlink ref="K8" r:id="rId7" display="mở"/>
    <hyperlink ref="K9" r:id="rId8" display="mở"/>
    <hyperlink ref="K10" r:id="rId9" display="mở"/>
    <hyperlink ref="K11" r:id="rId10" display="mở"/>
    <hyperlink ref="K12" r:id="rId11" display="mở"/>
    <hyperlink ref="K13" r:id="rId12" display="mở"/>
    <hyperlink ref="K14" r:id="rId13" display="mở"/>
    <hyperlink ref="K15" r:id="rId14" display="mở"/>
    <hyperlink ref="K16" r:id="rId15" display="mở"/>
    <hyperlink ref="K17" r:id="rId16" display="mở"/>
    <hyperlink ref="K18" r:id="rId17" display="mở"/>
    <hyperlink ref="K19" r:id="rId18" display="mở"/>
    <hyperlink ref="K20" r:id="rId19" display="mở"/>
    <hyperlink ref="K21" r:id="rId20" display="mở"/>
    <hyperlink ref="K22" r:id="rId21" display="mở"/>
    <hyperlink ref="K23" r:id="rId22" display="mở"/>
    <hyperlink ref="K24" r:id="rId23" display="mở"/>
    <hyperlink ref="K25" r:id="rId24" display="mở"/>
    <hyperlink ref="K26" r:id="rId25" display="mở"/>
    <hyperlink ref="K27" r:id="rId26" display="mở"/>
    <hyperlink ref="K28" r:id="rId27" display="mở"/>
    <hyperlink ref="K29" r:id="rId28" display="mở"/>
    <hyperlink ref="K30" r:id="rId29" display="mở"/>
    <hyperlink ref="K31" r:id="rId30" display="mở"/>
    <hyperlink ref="K32" r:id="rId31" display="mở"/>
    <hyperlink ref="K33" r:id="rId32" display="mở"/>
    <hyperlink ref="K34" r:id="rId33" display="mở"/>
    <hyperlink ref="K35" r:id="rId34" display="mở"/>
    <hyperlink ref="K36" r:id="rId35" display="mở"/>
    <hyperlink ref="K37" r:id="rId36" display="mở"/>
    <hyperlink ref="K38" r:id="rId37" display="mở"/>
    <hyperlink ref="K39" r:id="rId38" display="mở"/>
    <hyperlink ref="K40" r:id="rId39" display="mở"/>
    <hyperlink ref="K41" r:id="rId40" display="mở"/>
    <hyperlink ref="K42" r:id="rId41" display="mở"/>
    <hyperlink ref="K43" r:id="rId42" display="mở"/>
    <hyperlink ref="K44" r:id="rId43" display="mở"/>
    <hyperlink ref="K45" r:id="rId44" display="mở"/>
    <hyperlink ref="K46" r:id="rId45" display="mở"/>
    <hyperlink ref="K47" r:id="rId46" display="mở"/>
    <hyperlink ref="K48" r:id="rId47" display="mở"/>
    <hyperlink ref="K49" r:id="rId48" display="mở"/>
    <hyperlink ref="K50" r:id="rId49" display="mở"/>
    <hyperlink ref="K51" r:id="rId50" display="mở"/>
    <hyperlink ref="K52" r:id="rId51" display="mở"/>
    <hyperlink ref="K53" r:id="rId52" display="mở"/>
    <hyperlink ref="K54" r:id="rId53" display="mở"/>
    <hyperlink ref="K55" r:id="rId54" display="mở"/>
    <hyperlink ref="K56" r:id="rId55" display="mở"/>
    <hyperlink ref="K57" r:id="rId56" display="mở"/>
    <hyperlink ref="K58" r:id="rId57" display="mở"/>
    <hyperlink ref="K59" r:id="rId58" display="mở"/>
    <hyperlink ref="K60" r:id="rId59" display="mở"/>
    <hyperlink ref="K61" r:id="rId60" display="mở"/>
    <hyperlink ref="K62" r:id="rId61" display="mở"/>
    <hyperlink ref="K63" r:id="rId62" display="mở"/>
    <hyperlink ref="K64" r:id="rId63" display="mở"/>
    <hyperlink ref="K65" r:id="rId64" display="mở"/>
    <hyperlink ref="K66" r:id="rId65" display="mở"/>
    <hyperlink ref="K67" r:id="rId66" display="mở"/>
    <hyperlink ref="K68" r:id="rId67" display="mở"/>
    <hyperlink ref="K69" r:id="rId68" display="mở"/>
    <hyperlink ref="K70" r:id="rId69" display="mở"/>
    <hyperlink ref="K71" r:id="rId70" display="mở"/>
    <hyperlink ref="K72" r:id="rId71" display="mở"/>
    <hyperlink ref="K73" r:id="rId72" display="mở"/>
    <hyperlink ref="K74" r:id="rId73" display="mở"/>
    <hyperlink ref="K75" r:id="rId74" display="mở"/>
    <hyperlink ref="K76" r:id="rId75" display="mở"/>
    <hyperlink ref="K77" r:id="rId76" display="mở"/>
    <hyperlink ref="K78" r:id="rId77" display="mở"/>
    <hyperlink ref="K79" r:id="rId78" display="mở"/>
    <hyperlink ref="K80" r:id="rId79" display="mở"/>
    <hyperlink ref="K81" r:id="rId80" display="mở"/>
    <hyperlink ref="K82" r:id="rId81" display="mở"/>
    <hyperlink ref="K83" r:id="rId82" display="mở"/>
    <hyperlink ref="K84" r:id="rId83" display="mở"/>
    <hyperlink ref="K85" r:id="rId84" display="mở"/>
    <hyperlink ref="K86" r:id="rId85" display="mở"/>
    <hyperlink ref="K87" r:id="rId86" display="mở"/>
    <hyperlink ref="K88" r:id="rId87" display="mở"/>
    <hyperlink ref="K89" r:id="rId88" display="mở"/>
    <hyperlink ref="K90" r:id="rId89" display="mở"/>
    <hyperlink ref="K91" r:id="rId90" display="mở"/>
    <hyperlink ref="K92" r:id="rId91" display="mở"/>
    <hyperlink ref="K93" r:id="rId92" display="mở"/>
    <hyperlink ref="K94" r:id="rId93" display="mở"/>
    <hyperlink ref="K95" r:id="rId94" display="mở"/>
    <hyperlink ref="K96" r:id="rId95" display="mở"/>
    <hyperlink ref="K97" r:id="rId96" display="mở"/>
    <hyperlink ref="K98" r:id="rId97" display="mở"/>
    <hyperlink ref="K99" r:id="rId98" display="mở"/>
    <hyperlink ref="K100" r:id="rId99" display="mở"/>
    <hyperlink ref="K101" r:id="rId100" display="mở"/>
    <hyperlink ref="K102" r:id="rId101" display="mở"/>
    <hyperlink ref="K103" r:id="rId102" display="mở"/>
    <hyperlink ref="K104" r:id="rId103" display="mở"/>
    <hyperlink ref="K105" r:id="rId104" display="mở"/>
    <hyperlink ref="K106" r:id="rId105" display="mở"/>
    <hyperlink ref="K107" r:id="rId106" display="mở"/>
    <hyperlink ref="K108" r:id="rId107" display="mở"/>
    <hyperlink ref="K109" r:id="rId108" display="mở"/>
    <hyperlink ref="K110" r:id="rId109" display="mở"/>
    <hyperlink ref="K111" r:id="rId110" display="mở"/>
    <hyperlink ref="K112" r:id="rId111" display="mở"/>
    <hyperlink ref="K113" r:id="rId112" display="mở"/>
    <hyperlink ref="K114" r:id="rId113" display="mở"/>
    <hyperlink ref="K115" r:id="rId114" display="mở"/>
    <hyperlink ref="K116" r:id="rId115" display="mở"/>
    <hyperlink ref="K117" r:id="rId116" display="mở"/>
    <hyperlink ref="K118" r:id="rId117" display="mở"/>
    <hyperlink ref="K119" r:id="rId118" display="mở"/>
    <hyperlink ref="K120" r:id="rId119" display="mở"/>
    <hyperlink ref="K121" r:id="rId120" display="mở"/>
    <hyperlink ref="K122" r:id="rId121" display="mở"/>
    <hyperlink ref="K123" r:id="rId122" display="mở"/>
    <hyperlink ref="K124" r:id="rId123" display="mở"/>
    <hyperlink ref="K125" r:id="rId124" display="mở"/>
    <hyperlink ref="K126" r:id="rId125" display="mở"/>
    <hyperlink ref="K127" r:id="rId126" display="mở"/>
    <hyperlink ref="K128" r:id="rId127" display="mở"/>
    <hyperlink ref="K129" r:id="rId128" display="mở"/>
    <hyperlink ref="K130" r:id="rId129" display="mở"/>
    <hyperlink ref="K131" r:id="rId130" display="mở"/>
    <hyperlink ref="K132" r:id="rId131" display="mở"/>
    <hyperlink ref="K133" r:id="rId132" display="mở"/>
    <hyperlink ref="K134" r:id="rId133" display="mở"/>
    <hyperlink ref="K135" r:id="rId134" display="mở"/>
    <hyperlink ref="K136" r:id="rId135" display="mở"/>
    <hyperlink ref="K137" r:id="rId136" display="mở"/>
    <hyperlink ref="K138" r:id="rId137" display="mở"/>
    <hyperlink ref="K139" r:id="rId138" display="mở"/>
    <hyperlink ref="K140" r:id="rId139" display="mở"/>
    <hyperlink ref="K141" r:id="rId140" display="mở"/>
    <hyperlink ref="K142" r:id="rId141" display="mở"/>
    <hyperlink ref="K143" r:id="rId142" display="mở"/>
    <hyperlink ref="K144" r:id="rId143" display="mở"/>
    <hyperlink ref="K145" r:id="rId144" display="mở"/>
    <hyperlink ref="K146" r:id="rId145" display="mở"/>
    <hyperlink ref="K147" r:id="rId146" display="mở"/>
    <hyperlink ref="K148" r:id="rId147" display="mở"/>
    <hyperlink ref="K149" r:id="rId148" display="mở"/>
    <hyperlink ref="K150" r:id="rId149" display="mở"/>
    <hyperlink ref="K151" r:id="rId150" display="mở"/>
    <hyperlink ref="K152" r:id="rId151" display="mở"/>
    <hyperlink ref="K153" r:id="rId152" display="mở"/>
    <hyperlink ref="K154" r:id="rId153" display="mở"/>
    <hyperlink ref="K155" r:id="rId154" display="mở"/>
    <hyperlink ref="K156" r:id="rId155" display="mở"/>
    <hyperlink ref="K157" r:id="rId156" display="mở"/>
    <hyperlink ref="K158" r:id="rId157" display="mở"/>
    <hyperlink ref="K159" r:id="rId158" display="mở"/>
    <hyperlink ref="K160" r:id="rId159" display="mở"/>
    <hyperlink ref="K161" r:id="rId160" display="mở"/>
    <hyperlink ref="K162" r:id="rId161" display="mở"/>
    <hyperlink ref="K163" r:id="rId162" display="mở"/>
    <hyperlink ref="K164" r:id="rId163" display="mở"/>
    <hyperlink ref="K165" r:id="rId164" display="mở"/>
    <hyperlink ref="K166" r:id="rId165" display="mở"/>
    <hyperlink ref="K167" r:id="rId166" display="mở"/>
    <hyperlink ref="K168" r:id="rId167" display="mở"/>
    <hyperlink ref="K169" r:id="rId168" display="mở"/>
    <hyperlink ref="K170" r:id="rId169" display="mở"/>
    <hyperlink ref="K171" r:id="rId170" display="mở"/>
    <hyperlink ref="K172" r:id="rId171" display="mở"/>
    <hyperlink ref="K173" r:id="rId172" display="mở"/>
    <hyperlink ref="K174" r:id="rId173" display="mở"/>
    <hyperlink ref="K175" r:id="rId174" display="mở"/>
    <hyperlink ref="K176" r:id="rId175" display="mở"/>
    <hyperlink ref="K177" r:id="rId176" display="mở"/>
    <hyperlink ref="K178" r:id="rId177" display="mở"/>
    <hyperlink ref="K179" r:id="rId178" display="mở"/>
    <hyperlink ref="K180" r:id="rId179" display="mở"/>
    <hyperlink ref="K181" r:id="rId180" display="mở"/>
    <hyperlink ref="K182" r:id="rId181" display="mở"/>
    <hyperlink ref="K183" r:id="rId182" display="mở"/>
    <hyperlink ref="K184" r:id="rId183" display="mở"/>
    <hyperlink ref="K185" r:id="rId184" display="mở"/>
    <hyperlink ref="K186" r:id="rId185" display="mở"/>
    <hyperlink ref="K187" r:id="rId186" display="mở"/>
    <hyperlink ref="K188" r:id="rId187" display="mở"/>
    <hyperlink ref="K189" r:id="rId188" display="mở"/>
    <hyperlink ref="K190" r:id="rId189" display="mở"/>
    <hyperlink ref="K191" r:id="rId190" display="mở"/>
    <hyperlink ref="K192" r:id="rId191" display="mở"/>
    <hyperlink ref="K193" r:id="rId192" display="mở"/>
    <hyperlink ref="K194" r:id="rId193" display="mở"/>
    <hyperlink ref="K195" r:id="rId194" display="mở"/>
    <hyperlink ref="K196" r:id="rId195" display="mở"/>
    <hyperlink ref="K197" r:id="rId196" display="mở"/>
    <hyperlink ref="K198" r:id="rId197" display="mở"/>
    <hyperlink ref="K199" r:id="rId198" display="mở"/>
    <hyperlink ref="K200" r:id="rId199" display="mở"/>
    <hyperlink ref="K201" r:id="rId200" display="mở"/>
    <hyperlink ref="K202" r:id="rId201" display="mở"/>
    <hyperlink ref="K203" r:id="rId202" display="mở"/>
    <hyperlink ref="K204" r:id="rId203" display="mở"/>
    <hyperlink ref="K205" r:id="rId204" display="mở"/>
    <hyperlink ref="K206" r:id="rId205" display="mở"/>
    <hyperlink ref="K207" r:id="rId206" display="mở"/>
    <hyperlink ref="K208" r:id="rId207" display="mở"/>
    <hyperlink ref="K209" r:id="rId208" display="mở"/>
    <hyperlink ref="K210" r:id="rId209" display="mở"/>
    <hyperlink ref="K211" r:id="rId210" display="mở"/>
    <hyperlink ref="K212" r:id="rId211" display="mở"/>
    <hyperlink ref="K213" r:id="rId212" display="mở"/>
    <hyperlink ref="K214" r:id="rId213" display="mở"/>
    <hyperlink ref="K215" r:id="rId214" display="mở"/>
    <hyperlink ref="K216" r:id="rId215" display="mở"/>
    <hyperlink ref="K217" r:id="rId216" display="mở"/>
    <hyperlink ref="K218" r:id="rId217" display="mở"/>
    <hyperlink ref="K219" r:id="rId218" display="mở"/>
    <hyperlink ref="K220" r:id="rId219" display="mở"/>
    <hyperlink ref="K221" r:id="rId220" display="mở"/>
    <hyperlink ref="K222" r:id="rId221" display="mở"/>
    <hyperlink ref="K223" r:id="rId222" display="mở"/>
    <hyperlink ref="K224" r:id="rId223" display="mở"/>
    <hyperlink ref="K225" r:id="rId224" display="mở"/>
    <hyperlink ref="K226" r:id="rId225" display="mở"/>
    <hyperlink ref="K227" r:id="rId226" display="mở"/>
    <hyperlink ref="K228" r:id="rId227" display="mở"/>
    <hyperlink ref="K229" r:id="rId228" display="mở"/>
    <hyperlink ref="K230" r:id="rId229" display="mở"/>
    <hyperlink ref="K231" r:id="rId230" display="mở"/>
    <hyperlink ref="K232" r:id="rId231" display="mở"/>
    <hyperlink ref="K233" r:id="rId232" display="mở"/>
    <hyperlink ref="K234" r:id="rId233" display="mở"/>
    <hyperlink ref="K235" r:id="rId234" display="mở"/>
    <hyperlink ref="K236" r:id="rId235" display="mở"/>
    <hyperlink ref="K237" r:id="rId236" display="mở"/>
    <hyperlink ref="K238" r:id="rId237" display="mở"/>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8"/>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2026-10-11T22:10:24Z</dcterms:created>
  <dc:creator>openpyxl</dc:creator>
  <dc:description/>
  <dc:language>vi-VN</dc:language>
  <cp:lastModifiedBy/>
  <dcterms:modified xsi:type="dcterms:W3CDTF">2026-10-11T22:10:46Z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